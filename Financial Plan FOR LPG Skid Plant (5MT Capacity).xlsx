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PG Skid Plant (5MT Capacity)\"/>
    </mc:Choice>
  </mc:AlternateContent>
  <xr:revisionPtr revIDLastSave="0" documentId="13_ncr:1_{304C8923-E4C1-4EB5-8D20-58158E8BE766}" xr6:coauthVersionLast="43" xr6:coauthVersionMax="43" xr10:uidLastSave="{00000000-0000-0000-0000-000000000000}"/>
  <bookViews>
    <workbookView xWindow="150" yWindow="285" windowWidth="9570" windowHeight="10500" firstSheet="7" activeTab="7" xr2:uid="{93CA332A-B2F2-49A8-8E61-F13C196C3203}"/>
  </bookViews>
  <sheets>
    <sheet name="Startup Analysis" sheetId="2" r:id="rId1"/>
    <sheet name="Operating Cost" sheetId="3" r:id="rId2"/>
    <sheet name="Statement of income" sheetId="5" r:id="rId3"/>
    <sheet name="Sensitivity Analysis" sheetId="8" r:id="rId4"/>
    <sheet name="ROI" sheetId="9" r:id="rId5"/>
    <sheet name="CASH FLOW" sheetId="10" r:id="rId6"/>
    <sheet name="Balance Sheet" sheetId="11" r:id="rId7"/>
    <sheet name="Break Even Analysis" sheetId="12" r:id="rId8"/>
    <sheet name="Financial Overview" sheetId="13" r:id="rId9"/>
  </sheets>
  <externalReferences>
    <externalReference r:id="rId10"/>
    <externalReference r:id="rId11"/>
  </externalReferences>
  <definedNames>
    <definedName name="_Hlk226508043" localSheetId="8">'Financial Overview'!$A$1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<sst xmlns="http://schemas.openxmlformats.org/spreadsheetml/2006/main" count="579" uniqueCount="355">
  <si>
    <t>Details</t>
  </si>
  <si>
    <t>Gross Margin</t>
  </si>
  <si>
    <t>Asset Category</t>
  </si>
  <si>
    <t>Amount (₦)</t>
  </si>
  <si>
    <t>Core Equipment</t>
  </si>
  <si>
    <t>Measurement</t>
  </si>
  <si>
    <t>Safety</t>
  </si>
  <si>
    <t>Power</t>
  </si>
  <si>
    <t>Inventory</t>
  </si>
  <si>
    <t>Office Setup</t>
  </si>
  <si>
    <t>Branding</t>
  </si>
  <si>
    <t>Regulatory</t>
  </si>
  <si>
    <t>Infrastructure</t>
  </si>
  <si>
    <t>Risk Coverage</t>
  </si>
  <si>
    <t>Insurance</t>
  </si>
  <si>
    <t>₦28,000,000</t>
  </si>
  <si>
    <t>Operating Cost Structure (Monthly OPEX)</t>
  </si>
  <si>
    <t>Expense Category</t>
  </si>
  <si>
    <t>LPG Bulk Purchase</t>
  </si>
  <si>
    <t>Human Resources</t>
  </si>
  <si>
    <t>Staff Salaries</t>
  </si>
  <si>
    <t>Logistics</t>
  </si>
  <si>
    <t>Transportation &amp; Supply</t>
  </si>
  <si>
    <t>Energy</t>
  </si>
  <si>
    <t>Generator Fuel &amp; Maintenance</t>
  </si>
  <si>
    <t>Facility</t>
  </si>
  <si>
    <t>Rent</t>
  </si>
  <si>
    <t>Maintenance</t>
  </si>
  <si>
    <t>Repairs &amp; Servicing</t>
  </si>
  <si>
    <t>Security</t>
  </si>
  <si>
    <t>Security Personnel</t>
  </si>
  <si>
    <t>Monthly Allocation</t>
  </si>
  <si>
    <t>Miscellaneous</t>
  </si>
  <si>
    <t>Total Monthly OPEX</t>
  </si>
  <si>
    <t>₦21,725,000</t>
  </si>
  <si>
    <t>Annual OPEX</t>
  </si>
  <si>
    <t>₦260,700,000</t>
  </si>
  <si>
    <t>Startup Expenses</t>
  </si>
  <si>
    <t>LPG Skid Plant (5MT Capacity)</t>
  </si>
  <si>
    <t>Capital Expenditure</t>
  </si>
  <si>
    <t>Profit &amp; Loss Statement</t>
  </si>
  <si>
    <t>Weekly Income</t>
  </si>
  <si>
    <t>Number of Weeks</t>
  </si>
  <si>
    <t>Total Sales (Revenue)</t>
  </si>
  <si>
    <t>Total Cost of Sales</t>
  </si>
  <si>
    <t>Gross Margin %</t>
  </si>
  <si>
    <t>Year 1</t>
  </si>
  <si>
    <t>Year 2</t>
  </si>
  <si>
    <t>Year 3</t>
  </si>
  <si>
    <t>Year 4</t>
  </si>
  <si>
    <t>Year 5</t>
  </si>
  <si>
    <t>Salary (Admin)</t>
  </si>
  <si>
    <t>Transportation &amp; Logistics</t>
  </si>
  <si>
    <t>Repairs &amp; Maintenance</t>
  </si>
  <si>
    <t>Total Operating Expenses</t>
  </si>
  <si>
    <t xml:space="preserve">Operating Expenses </t>
  </si>
  <si>
    <t>Operating Income</t>
  </si>
  <si>
    <t>Operating Margin</t>
  </si>
  <si>
    <t>EBITDA</t>
  </si>
  <si>
    <t>Depreciation &amp; Amortization</t>
  </si>
  <si>
    <t>Interest Expense</t>
  </si>
  <si>
    <t>Profit Before Tax</t>
  </si>
  <si>
    <t>Tax Incurred (30%)</t>
  </si>
  <si>
    <t>Net Profit</t>
  </si>
  <si>
    <t>Net Profit / Sales %</t>
  </si>
  <si>
    <t>Profitability</t>
  </si>
  <si>
    <t>₦26950000</t>
  </si>
  <si>
    <t>₦29841000</t>
  </si>
  <si>
    <t>₦33021100</t>
  </si>
  <si>
    <t>₦36519210</t>
  </si>
  <si>
    <t>₦40367131</t>
  </si>
  <si>
    <t xml:space="preserve">Year 5 </t>
  </si>
  <si>
    <t xml:space="preserve">Year 4 </t>
  </si>
  <si>
    <t xml:space="preserve">Year 3 </t>
  </si>
  <si>
    <t xml:space="preserve">Year 2 </t>
  </si>
  <si>
    <t xml:space="preserve">Year 1 </t>
  </si>
  <si>
    <t>SENSITIVITY</t>
  </si>
  <si>
    <t>ACTUAL FORCAST</t>
  </si>
  <si>
    <t>Profit and Loss Statements</t>
  </si>
  <si>
    <t>Total Sales</t>
  </si>
  <si>
    <t>₦305,760,000</t>
  </si>
  <si>
    <t>₦336,336,000</t>
  </si>
  <si>
    <t>₦369,969,600</t>
  </si>
  <si>
    <t>₦406,966,560</t>
  </si>
  <si>
    <t>₦447,663,216</t>
  </si>
  <si>
    <t>₦50,960,000</t>
  </si>
  <si>
    <t>₦56,056,000</t>
  </si>
  <si>
    <t>₦61,661,600</t>
  </si>
  <si>
    <t>₦67,827,760</t>
  </si>
  <si>
    <t>₦74,610,536</t>
  </si>
  <si>
    <t>₦9,660,000</t>
  </si>
  <si>
    <t>₦10,626,000</t>
  </si>
  <si>
    <r>
      <t xml:space="preserve"> </t>
    </r>
    <r>
      <rPr>
        <sz val="11"/>
        <color theme="1"/>
        <rFont val="Calibri"/>
        <family val="2"/>
        <scheme val="minor"/>
      </rPr>
      <t>₦11,688,600</t>
    </r>
  </si>
  <si>
    <t>₦12,857,460</t>
  </si>
  <si>
    <t>₦14,143,206</t>
  </si>
  <si>
    <t>₦41,300,000</t>
  </si>
  <si>
    <t>₦45,430,000</t>
  </si>
  <si>
    <t>₦49,973,000</t>
  </si>
  <si>
    <t>₦54,970,300</t>
  </si>
  <si>
    <t>₦60,467,330</t>
  </si>
  <si>
    <r>
      <t>₦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49,973,000</t>
    </r>
  </si>
  <si>
    <t>Interest</t>
  </si>
  <si>
    <t xml:space="preserve">Tax Incurred </t>
  </si>
  <si>
    <t>₦11,550,000</t>
  </si>
  <si>
    <t>₦12,789,000</t>
  </si>
  <si>
    <t>₦14,151,900</t>
  </si>
  <si>
    <t>₦17,300,199</t>
  </si>
  <si>
    <r>
      <t>₦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26,950,000</t>
    </r>
  </si>
  <si>
    <t>₦29,841,000</t>
  </si>
  <si>
    <t>₦33,021,100</t>
  </si>
  <si>
    <t>₦36,519,210</t>
  </si>
  <si>
    <t>₦40,367,131</t>
  </si>
  <si>
    <t>Net Profit/Sales %</t>
  </si>
  <si>
    <t>MODERATE FORECAST</t>
  </si>
  <si>
    <t>₦275,184,000</t>
  </si>
  <si>
    <t>₦302,702,400</t>
  </si>
  <si>
    <t>₦332,972,640</t>
  </si>
  <si>
    <t>₦366,269,904</t>
  </si>
  <si>
    <t>₦402,896,894</t>
  </si>
  <si>
    <t xml:space="preserve">Gross Margin </t>
  </si>
  <si>
    <t>₦44,029,440</t>
  </si>
  <si>
    <t>₦48,432,384</t>
  </si>
  <si>
    <t>₦53,275,622</t>
  </si>
  <si>
    <t>₦58,603,184</t>
  </si>
  <si>
    <t>₦64,463,502</t>
  </si>
  <si>
    <t xml:space="preserve">Total Operating Expenses </t>
  </si>
  <si>
    <t>₦10,143,000</t>
  </si>
  <si>
    <t>₦11,157,300</t>
  </si>
  <si>
    <t>₦12,273,030</t>
  </si>
  <si>
    <t>₦13,500,333</t>
  </si>
  <si>
    <t>₦14,850,366</t>
  </si>
  <si>
    <t>₦33,886,440</t>
  </si>
  <si>
    <t>₦37,275,084</t>
  </si>
  <si>
    <t>₦41,002,592</t>
  </si>
  <si>
    <t>₦45,102,851</t>
  </si>
  <si>
    <t>₦49,613,136</t>
  </si>
  <si>
    <t>Tax Incurred</t>
  </si>
  <si>
    <t>₦10,165,932</t>
  </si>
  <si>
    <t>₦11,182,525</t>
  </si>
  <si>
    <t>₦12,300,778</t>
  </si>
  <si>
    <t>₦13,530,855</t>
  </si>
  <si>
    <t>₦14,883,941</t>
  </si>
  <si>
    <t>₦23,720,508</t>
  </si>
  <si>
    <t>₦26,092,559</t>
  </si>
  <si>
    <t>₦28,701,814</t>
  </si>
  <si>
    <t>₦31,571,996</t>
  </si>
  <si>
    <t>₦34,729,195</t>
  </si>
  <si>
    <t>LOW FORECAST</t>
  </si>
  <si>
    <t>₦244,608,000</t>
  </si>
  <si>
    <t>₦269,068,800</t>
  </si>
  <si>
    <t>₦295,975,680</t>
  </si>
  <si>
    <t>₦325,573,248</t>
  </si>
  <si>
    <t>₦358,130,573</t>
  </si>
  <si>
    <t>₦36,691,200</t>
  </si>
  <si>
    <t>₦40,360,320</t>
  </si>
  <si>
    <t>₦44,396,352</t>
  </si>
  <si>
    <t>₦48,835,987</t>
  </si>
  <si>
    <t>₦53,719,586</t>
  </si>
  <si>
    <t>₦11,688,600</t>
  </si>
  <si>
    <t>₦27,031,200</t>
  </si>
  <si>
    <t>₦29,734,320</t>
  </si>
  <si>
    <t>₦32,707,752</t>
  </si>
  <si>
    <t>₦35,978,527</t>
  </si>
  <si>
    <t>₦39,576,380</t>
  </si>
  <si>
    <t>₦8,109,360</t>
  </si>
  <si>
    <t>₦8,920,296</t>
  </si>
  <si>
    <t>₦9,812,326</t>
  </si>
  <si>
    <t>₦10,793,558</t>
  </si>
  <si>
    <t>₦11,872,914</t>
  </si>
  <si>
    <t>₦18,921,840</t>
  </si>
  <si>
    <t>₦20,814,024</t>
  </si>
  <si>
    <t>₦22,895,426</t>
  </si>
  <si>
    <t>₦25,184,969</t>
  </si>
  <si>
    <t>₦27,703,466</t>
  </si>
  <si>
    <t>OPTIMISTIC FORECAST</t>
  </si>
  <si>
    <t>₦366,912,000</t>
  </si>
  <si>
    <t>₦403,603,200</t>
  </si>
  <si>
    <t>₦443,963,520</t>
  </si>
  <si>
    <t>₦488,359,872</t>
  </si>
  <si>
    <t>₦537,195,859</t>
  </si>
  <si>
    <t>₦66,044,160</t>
  </si>
  <si>
    <t>₦72,648,576</t>
  </si>
  <si>
    <t>₦79,913,434</t>
  </si>
  <si>
    <t>₦87,904,777</t>
  </si>
  <si>
    <t>₦96,695,255</t>
  </si>
  <si>
    <t>₦15,557,527</t>
  </si>
  <si>
    <t>₦55,418,160</t>
  </si>
  <si>
    <t>₦60,959,976</t>
  </si>
  <si>
    <t>₦67,055,974</t>
  </si>
  <si>
    <t>₦73,761,571</t>
  </si>
  <si>
    <t>₦81,137,728</t>
  </si>
  <si>
    <t>₦16,625,448</t>
  </si>
  <si>
    <t>₦18,287,993</t>
  </si>
  <si>
    <t>₦20,116,792</t>
  </si>
  <si>
    <t>₦22,128,471</t>
  </si>
  <si>
    <t>₦24,341,318</t>
  </si>
  <si>
    <t>₦38,792,712</t>
  </si>
  <si>
    <t>₦42,671,983</t>
  </si>
  <si>
    <t>₦46,939,182</t>
  </si>
  <si>
    <t>₦51,633,100</t>
  </si>
  <si>
    <t>₦56,796,410</t>
  </si>
  <si>
    <t xml:space="preserve"> </t>
  </si>
  <si>
    <t>YEAR 1</t>
  </si>
  <si>
    <t>YEAR 2</t>
  </si>
  <si>
    <t>YEAR 3</t>
  </si>
  <si>
    <t>YEAR 4</t>
  </si>
  <si>
    <t>YEAR 5</t>
  </si>
  <si>
    <t>Total Investment Cost</t>
  </si>
  <si>
    <t>₦27,230,000</t>
  </si>
  <si>
    <t>₦30,149,000</t>
  </si>
  <si>
    <t>₦33,359,900</t>
  </si>
  <si>
    <t>₦36,891,890</t>
  </si>
  <si>
    <t>₦40,777,079</t>
  </si>
  <si>
    <t>Investment</t>
  </si>
  <si>
    <t>ROI</t>
  </si>
  <si>
    <t>Cumulative Profit</t>
  </si>
  <si>
    <t>₦57,379,000</t>
  </si>
  <si>
    <t>₦90,738,900</t>
  </si>
  <si>
    <t>₦127,630,790</t>
  </si>
  <si>
    <t>₦168,407,869</t>
  </si>
  <si>
    <t>Cumulative ROI</t>
  </si>
  <si>
    <t>Assume 70% Investor / 30% Operator</t>
  </si>
  <si>
    <t>Investor Share (70%)</t>
  </si>
  <si>
    <t>₦19,061,000</t>
  </si>
  <si>
    <t>₦21,104,300</t>
  </si>
  <si>
    <t>₦23,351,930</t>
  </si>
  <si>
    <t>₦25,824,323</t>
  </si>
  <si>
    <t>₦28,543,955</t>
  </si>
  <si>
    <t>Operator Share (30%)</t>
  </si>
  <si>
    <t>₦8,169,000</t>
  </si>
  <si>
    <t>₦9,044,700</t>
  </si>
  <si>
    <t>₦10,007,970</t>
  </si>
  <si>
    <t>₦11,067,567</t>
  </si>
  <si>
    <t>₦12,233,124</t>
  </si>
  <si>
    <t>Assumption Table</t>
  </si>
  <si>
    <t>Parameter</t>
  </si>
  <si>
    <t>Value</t>
  </si>
  <si>
    <t>Notes</t>
  </si>
  <si>
    <t>Initial Investment</t>
  </si>
  <si>
    <t>Profit Sharing Ratio (Investor)</t>
  </si>
  <si>
    <t>Mudarabah agreement</t>
  </si>
  <si>
    <t>Profit Sharing Ratio (Operator)</t>
  </si>
  <si>
    <t xml:space="preserve">Mudarib share      </t>
  </si>
  <si>
    <t xml:space="preserve">Revenue Growth Rate            </t>
  </si>
  <si>
    <t xml:space="preserve">Annual growth      </t>
  </si>
  <si>
    <t xml:space="preserve">Tax Rate                       </t>
  </si>
  <si>
    <t xml:space="preserve">Corporate tax      </t>
  </si>
  <si>
    <t xml:space="preserve">Project Duration               </t>
  </si>
  <si>
    <t xml:space="preserve">5 Years   </t>
  </si>
  <si>
    <t xml:space="preserve">Forecast period    </t>
  </si>
  <si>
    <t xml:space="preserve">Cash Flow </t>
  </si>
  <si>
    <t>Year 1 (₦)</t>
  </si>
  <si>
    <t>Year 2 (₦)</t>
  </si>
  <si>
    <t>Year 3 (₦)</t>
  </si>
  <si>
    <t>Year 4 (₦)</t>
  </si>
  <si>
    <t>Year 5 (₦)</t>
  </si>
  <si>
    <t>Cash Sales</t>
  </si>
  <si>
    <t>Subtotal Cash from Operations</t>
  </si>
  <si>
    <t>Investors</t>
  </si>
  <si>
    <t>New Long-term Liabilities</t>
  </si>
  <si>
    <t>Subtotal Cash Received</t>
  </si>
  <si>
    <t>CASH INFLOWS</t>
  </si>
  <si>
    <t>Subtotal Spent on Operations</t>
  </si>
  <si>
    <t>Long-term Liabilities Repayment</t>
  </si>
  <si>
    <t>Purchase Long-term Assets (CAPEX)</t>
  </si>
  <si>
    <t>Subtotal Cash Spent</t>
  </si>
  <si>
    <t>CASH OUTFLOWS</t>
  </si>
  <si>
    <t>Net Cash Flow</t>
  </si>
  <si>
    <t>Opening Cash Balance</t>
  </si>
  <si>
    <t>Cash Balance</t>
  </si>
  <si>
    <t xml:space="preserve"> Cash Balance</t>
  </si>
  <si>
    <t>Assets</t>
  </si>
  <si>
    <t>Cash &amp; Cash Equivalents</t>
  </si>
  <si>
    <t>Total Current Assets</t>
  </si>
  <si>
    <t>Fixed Assets (CAPEX)</t>
  </si>
  <si>
    <t>Accumulated Depreciation</t>
  </si>
  <si>
    <t>Net Fixed Assets</t>
  </si>
  <si>
    <t>Total Assets</t>
  </si>
  <si>
    <t>Accounts Payable (Inventory Credit)</t>
  </si>
  <si>
    <t>Tax Payable</t>
  </si>
  <si>
    <t>Total Current Liabilities</t>
  </si>
  <si>
    <t>Paid-in Capital</t>
  </si>
  <si>
    <t>Retained Earnings</t>
  </si>
  <si>
    <t>Total Net worth</t>
  </si>
  <si>
    <t>Net worth</t>
  </si>
  <si>
    <t>Fixed Costs</t>
  </si>
  <si>
    <t>₦8,700,000</t>
  </si>
  <si>
    <t>₦9,570,000</t>
  </si>
  <si>
    <t>₦10,527,000</t>
  </si>
  <si>
    <t>₦11,579,700</t>
  </si>
  <si>
    <t>₦12,737,670</t>
  </si>
  <si>
    <t>Variable Cost %</t>
  </si>
  <si>
    <t>Break-even Income</t>
  </si>
  <si>
    <t>₦52,200,000</t>
  </si>
  <si>
    <t>₦57,420,000</t>
  </si>
  <si>
    <t>₦63,162,000</t>
  </si>
  <si>
    <t>₦69,478,200</t>
  </si>
  <si>
    <t>₦76,426,020</t>
  </si>
  <si>
    <t>Revenue</t>
  </si>
  <si>
    <t>Break Even Analysis</t>
  </si>
  <si>
    <t xml:space="preserve">Break-even Income </t>
  </si>
  <si>
    <t xml:space="preserve">Revenue </t>
  </si>
  <si>
    <t>Financial Overview</t>
  </si>
  <si>
    <t>Total Revenue</t>
  </si>
  <si>
    <t>₦302,400,000</t>
  </si>
  <si>
    <t>₦332,640,000</t>
  </si>
  <si>
    <t>₦365,904,000</t>
  </si>
  <si>
    <t>₦402,494,400</t>
  </si>
  <si>
    <t>₦442,743,840</t>
  </si>
  <si>
    <t>₦252,000,000</t>
  </si>
  <si>
    <t>₦277,200,000</t>
  </si>
  <si>
    <t>₦304,920,000</t>
  </si>
  <si>
    <t>₦335,412,000</t>
  </si>
  <si>
    <t>₦368,953,200</t>
  </si>
  <si>
    <t>₦41,700,000</t>
  </si>
  <si>
    <t>₦45,870,000</t>
  </si>
  <si>
    <t>₦50,457,000</t>
  </si>
  <si>
    <t>₦55,502,700</t>
  </si>
  <si>
    <t>₦61,052,970</t>
  </si>
  <si>
    <t>Depreciation</t>
  </si>
  <si>
    <t>₦2,800,000</t>
  </si>
  <si>
    <t>Tax (30%)</t>
  </si>
  <si>
    <t>₦11,670,000</t>
  </si>
  <si>
    <t>₦12,921,000</t>
  </si>
  <si>
    <t>₦14,297,100</t>
  </si>
  <si>
    <t>₦15,810,810</t>
  </si>
  <si>
    <t>₦17,475,891</t>
  </si>
  <si>
    <t xml:space="preserve">Net Profit </t>
  </si>
  <si>
    <t>Cost of Gas</t>
  </si>
  <si>
    <t>Gross Profit</t>
  </si>
  <si>
    <t>₦50,400,000</t>
  </si>
  <si>
    <t>₦55,440,000</t>
  </si>
  <si>
    <t>₦60,984,000</t>
  </si>
  <si>
    <t>₦67,082,400</t>
  </si>
  <si>
    <t>₦73,790,640</t>
  </si>
  <si>
    <t>Operating Expenses</t>
  </si>
  <si>
    <t>₦38,900,000</t>
  </si>
  <si>
    <t>₦43,070,000</t>
  </si>
  <si>
    <t>₦47,657,000</t>
  </si>
  <si>
    <t>₦52,702,700</t>
  </si>
  <si>
    <t>₦58,252,970</t>
  </si>
  <si>
    <t>Balance Sheet</t>
  </si>
  <si>
    <t>NET CASH POSITION</t>
  </si>
  <si>
    <t>Cost of Gas Sold</t>
  </si>
  <si>
    <t>Utilities</t>
  </si>
  <si>
    <t>Light &amp; others</t>
  </si>
  <si>
    <t>₦16,900,000</t>
  </si>
  <si>
    <t>₦100,000</t>
  </si>
  <si>
    <t>₦1,000,000</t>
  </si>
  <si>
    <t>₦6,000,000</t>
  </si>
  <si>
    <t>₦500,000</t>
  </si>
  <si>
    <t>₦700,000</t>
  </si>
  <si>
    <t>₦300,000</t>
  </si>
  <si>
    <t xml:space="preserve">Cost </t>
  </si>
  <si>
    <t>Bulk Gas Purchased + 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</si>
</sst>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8"/>
      <color theme="1"/>
      <name val="Calibri Light"/>
      <family val="2"/>
    </font>
    <font>
      <b/>
      <sz val="12"/>
      <color theme="1"/>
      <name val="Times New Roman"/>
      <family val="1"/>
    </font>
    <font>
      <b/>
      <sz val="10.5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0"/>
      <name val="Calibri Light"/>
      <family val="2"/>
    </font>
    <font>
      <b/>
      <sz val="18"/>
      <color theme="0"/>
      <name val="Calibri Light"/>
      <family val="2"/>
    </font>
    <font>
      <b/>
      <sz val="36"/>
      <color theme="0"/>
      <name val="Times New Roman"/>
      <family val="1"/>
    </font>
    <font>
      <b/>
      <sz val="26"/>
      <color rgb="FFFFFF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10" fontId="0" fillId="0" borderId="4" xfId="0" applyNumberForma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10" fontId="1" fillId="0" borderId="0" xfId="0" applyNumberFormat="1" applyFont="1" applyBorder="1" applyAlignment="1">
      <alignment vertical="center" wrapText="1"/>
    </xf>
    <xf numFmtId="0" fontId="4" fillId="0" borderId="0" xfId="0" applyFont="1"/>
    <xf numFmtId="0" fontId="4" fillId="0" borderId="3" xfId="0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9" fontId="6" fillId="0" borderId="4" xfId="0" applyNumberFormat="1" applyFont="1" applyBorder="1" applyAlignment="1">
      <alignment vertical="center" wrapText="1"/>
    </xf>
    <xf numFmtId="10" fontId="6" fillId="0" borderId="4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3" fontId="0" fillId="0" borderId="0" xfId="0" applyNumberFormat="1"/>
    <xf numFmtId="9" fontId="0" fillId="0" borderId="4" xfId="0" applyNumberFormat="1" applyBorder="1" applyAlignment="1">
      <alignment vertical="center" wrapText="1"/>
    </xf>
    <xf numFmtId="3" fontId="6" fillId="0" borderId="0" xfId="0" applyNumberFormat="1" applyFont="1"/>
    <xf numFmtId="0" fontId="0" fillId="0" borderId="1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0" fontId="3" fillId="0" borderId="4" xfId="0" applyNumberFormat="1" applyFont="1" applyBorder="1" applyAlignment="1">
      <alignment vertical="center" wrapText="1"/>
    </xf>
    <xf numFmtId="10" fontId="9" fillId="0" borderId="4" xfId="0" applyNumberFormat="1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3" fontId="1" fillId="0" borderId="12" xfId="0" applyNumberFormat="1" applyFont="1" applyBorder="1" applyAlignment="1">
      <alignment vertical="center" wrapText="1"/>
    </xf>
    <xf numFmtId="3" fontId="1" fillId="0" borderId="3" xfId="0" applyNumberFormat="1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0" fontId="0" fillId="0" borderId="0" xfId="0"/>
    <xf numFmtId="0" fontId="1" fillId="0" borderId="0" xfId="0" applyFont="1"/>
    <xf numFmtId="3" fontId="1" fillId="0" borderId="1" xfId="0" applyNumberFormat="1" applyFont="1" applyBorder="1" applyAlignment="1">
      <alignment vertical="center" wrapText="1"/>
    </xf>
    <xf numFmtId="3" fontId="1" fillId="0" borderId="0" xfId="0" applyNumberFormat="1" applyFont="1"/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2" borderId="5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2" borderId="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0" xfId="0" applyFill="1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12" fillId="2" borderId="0" xfId="0" applyFont="1" applyFill="1"/>
    <xf numFmtId="0" fontId="11" fillId="2" borderId="5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0" xfId="0" applyFont="1" applyFill="1"/>
    <xf numFmtId="0" fontId="12" fillId="2" borderId="1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0" xfId="0" applyFont="1" applyFill="1"/>
    <xf numFmtId="0" fontId="14" fillId="2" borderId="0" xfId="0" applyFont="1" applyFill="1"/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0" xfId="0" applyFill="1"/>
    <xf numFmtId="0" fontId="6" fillId="3" borderId="4" xfId="0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 indent="1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7" fillId="2" borderId="0" xfId="0" applyFont="1" applyFill="1"/>
    <xf numFmtId="3" fontId="1" fillId="2" borderId="4" xfId="0" applyNumberFormat="1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4" borderId="0" xfId="0" applyFill="1"/>
    <xf numFmtId="0" fontId="17" fillId="2" borderId="0" xfId="0" applyFont="1" applyFill="1"/>
    <xf numFmtId="0" fontId="18" fillId="2" borderId="0" xfId="0" quotePrefix="1" applyFont="1" applyFill="1" applyAlignment="1">
      <alignment horizontal="center"/>
    </xf>
    <xf numFmtId="0" fontId="10" fillId="2" borderId="0" xfId="0" applyFont="1" applyFill="1"/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</a:t>
            </a:r>
            <a:r>
              <a:rPr lang="en-GB" baseline="0"/>
              <a:t> PROFIT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>
                        <a:effectLst/>
                      </a:rPr>
                      <a:t>₦</a:t>
                    </a:r>
                    <a:fld id="{AB2DAD5F-7454-45DC-A80F-D9170162EDFF}" type="VALUE">
                      <a:rPr lang="en-US"/>
                      <a:pPr/>
                      <a:t>[VALUE]</a:t>
                    </a:fld>
                    <a:endParaRPr lang="en-US" sz="900" b="0" i="0" u="none" strike="noStrike" baseline="0">
                      <a:effectLst/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89B-4DBE-98A3-0E74C5F757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>
                        <a:effectLst/>
                      </a:rPr>
                      <a:t>₦</a:t>
                    </a:r>
                    <a:fld id="{ADC6D633-36BB-4FD1-ADB8-A1705478E197}" type="VALUE">
                      <a:rPr lang="en-US"/>
                      <a:pPr/>
                      <a:t>[VALUE]</a:t>
                    </a:fld>
                    <a:endParaRPr lang="en-US" sz="900" b="0" i="0" u="none" strike="noStrike" baseline="0">
                      <a:effectLst/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89B-4DBE-98A3-0E74C5F757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>
                        <a:effectLst/>
                      </a:rPr>
                      <a:t>₦</a:t>
                    </a:r>
                    <a:fld id="{17A1F2FC-4B3D-48D9-9ACF-E82436814B2F}" type="VALUE">
                      <a:rPr lang="en-US"/>
                      <a:pPr/>
                      <a:t>[VALUE]</a:t>
                    </a:fld>
                    <a:endParaRPr lang="en-US" sz="900" b="0" i="0" u="none" strike="noStrike" baseline="0">
                      <a:effectLst/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89B-4DBE-98A3-0E74C5F757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900" b="0" i="0" u="none" strike="noStrike" baseline="0">
                        <a:effectLst/>
                      </a:rPr>
                      <a:t>₦</a:t>
                    </a:r>
                    <a:fld id="{41214A23-CD28-43F9-AF0F-E4BF03716C62}" type="VALUE">
                      <a:rPr lang="en-US"/>
                      <a:pPr/>
                      <a:t>[VALUE]</a:t>
                    </a:fld>
                    <a:endParaRPr lang="en-US" sz="900" b="0" i="0" u="none" strike="noStrike" baseline="0">
                      <a:effectLst/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89B-4DBE-98A3-0E74C5F757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900" b="0" i="0" u="none" strike="noStrike" baseline="0">
                        <a:effectLst/>
                      </a:rPr>
                      <a:t>₦</a:t>
                    </a:r>
                    <a:fld id="{EEE274D2-0AA9-4392-B7ED-6B05839029AB}" type="VALUE">
                      <a:rPr lang="en-US"/>
                      <a:pPr/>
                      <a:t>[VALUE]</a:t>
                    </a:fld>
                    <a:endParaRPr lang="en-US" sz="900" b="0" i="0" u="none" strike="noStrike" baseline="0">
                      <a:effectLst/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89B-4DBE-98A3-0E74C5F757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'Statement of income'!$K$8:$K$12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'Statement of income'!$L$8:$L$12</c:f>
              <c:numCache>
                <c:formatCode>#,##0</c:formatCode>
                <c:ptCount val="5"/>
                <c:pt idx="0">
                  <c:v>26950000</c:v>
                </c:pt>
                <c:pt idx="1">
                  <c:v>29841000</c:v>
                </c:pt>
                <c:pt idx="2">
                  <c:v>33021100</c:v>
                </c:pt>
                <c:pt idx="3">
                  <c:v>36519210</c:v>
                </c:pt>
                <c:pt idx="4">
                  <c:v>40367131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B-4DBE-98A3-0E74C5F75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124096768"/>
        <c:axId val="1911672560"/>
        <c:axId val="0"/>
      </c:bar3DChart>
      <c:catAx>
        <c:axId val="212409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72560"/>
        <c:crosses val="autoZero"/>
        <c:auto val="1"/>
        <c:lblAlgn val="ctr"/>
        <c:lblOffset val="100"/>
        <c:noMultiLvlLbl val="0"/>
      </c:catAx>
      <c:valAx>
        <c:axId val="19116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09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ACTUAL FORCAST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'Sensitivity Analysis'!$A$20:$A$24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Analysis'!$B$20:$B$24</c:f>
              <c:numCache>
                <c:formatCode>#,##0</c:formatCode>
                <c:ptCount val="5"/>
                <c:pt idx="0">
                  <c:v>305760000</c:v>
                </c:pt>
                <c:pt idx="1">
                  <c:v>336336000</c:v>
                </c:pt>
                <c:pt idx="2">
                  <c:v>369969600</c:v>
                </c:pt>
                <c:pt idx="3">
                  <c:v>406966560</c:v>
                </c:pt>
                <c:pt idx="4">
                  <c:v>447663216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19D-47E6-B394-75CF31BE882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'Sensitivity Analysis'!$A$20:$A$24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Analysis'!$C$20:$C$24</c:f>
              <c:numCache>
                <c:formatCode>#,##0</c:formatCode>
                <c:ptCount val="5"/>
                <c:pt idx="0">
                  <c:v>9660000</c:v>
                </c:pt>
                <c:pt idx="1">
                  <c:v>10626000</c:v>
                </c:pt>
                <c:pt idx="2">
                  <c:v>11688600</c:v>
                </c:pt>
                <c:pt idx="3">
                  <c:v>12857460</c:v>
                </c:pt>
                <c:pt idx="4">
                  <c:v>14143206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19D-47E6-B394-75CF31BE882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'Sensitivity Analysis'!$A$20:$A$24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Analysis'!$D$20:$D$24</c:f>
              <c:numCache>
                <c:formatCode>#,##0</c:formatCode>
                <c:ptCount val="5"/>
                <c:pt idx="0">
                  <c:v>26950000</c:v>
                </c:pt>
                <c:pt idx="1">
                  <c:v>29841000</c:v>
                </c:pt>
                <c:pt idx="2">
                  <c:v>33021100</c:v>
                </c:pt>
                <c:pt idx="3">
                  <c:v>36519210</c:v>
                </c:pt>
                <c:pt idx="4">
                  <c:v>40367131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19D-47E6-B394-75CF31BE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81664"/>
        <c:axId val="101807344"/>
      </c:barChart>
      <c:catAx>
        <c:axId val="957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7344"/>
        <c:crosses val="autoZero"/>
        <c:auto val="1"/>
        <c:lblAlgn val="ctr"/>
        <c:lblOffset val="100"/>
        <c:noMultiLvlLbl val="0"/>
      </c:catAx>
      <c:valAx>
        <c:axId val="10180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8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>
                <a:effectLst/>
              </a:rPr>
              <a:t>MODERATE FORECAST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'Sensitivity Analysis'!$M$19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'Sensitivity Analysis'!$L$20:$L$24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Analysis'!$M$20:$M$24</c:f>
              <c:numCache>
                <c:formatCode>#,##0</c:formatCode>
                <c:ptCount val="5"/>
                <c:pt idx="0">
                  <c:v>275184000</c:v>
                </c:pt>
                <c:pt idx="1">
                  <c:v>302702400</c:v>
                </c:pt>
                <c:pt idx="2">
                  <c:v>332972640</c:v>
                </c:pt>
                <c:pt idx="3">
                  <c:v>366269904</c:v>
                </c:pt>
                <c:pt idx="4">
                  <c:v>402896894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D-41AE-B96E-AB42979FA4CC}"/>
            </c:ext>
          </c:extLst>
        </c:ser>
        <c:ser>
          <c:idx val="1"/>
          <c:order val="1"/>
          <c:tx>
            <c:strRef>
              <c:f>'Sensitivity Analysis'!$N$19</c:f>
              <c:strCache>
                <c:ptCount val="1"/>
                <c:pt idx="0">
                  <c:v>Total Operating Expenses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'Sensitivity Analysis'!$L$20:$L$24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Analysis'!$N$20:$N$24</c:f>
              <c:numCache>
                <c:formatCode>#,##0</c:formatCode>
                <c:ptCount val="5"/>
                <c:pt idx="0">
                  <c:v>10143000</c:v>
                </c:pt>
                <c:pt idx="1">
                  <c:v>11157300</c:v>
                </c:pt>
                <c:pt idx="2">
                  <c:v>12273030</c:v>
                </c:pt>
                <c:pt idx="3">
                  <c:v>13500333</c:v>
                </c:pt>
                <c:pt idx="4">
                  <c:v>14850366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D-41AE-B96E-AB42979FA4CC}"/>
            </c:ext>
          </c:extLst>
        </c:ser>
        <c:ser>
          <c:idx val="2"/>
          <c:order val="2"/>
          <c:tx>
            <c:strRef>
              <c:f>'Sensitivity Analysis'!$O$19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'Sensitivity Analysis'!$L$20:$L$24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Analysis'!$O$20:$O$24</c:f>
              <c:numCache>
                <c:formatCode>#,##0</c:formatCode>
                <c:ptCount val="5"/>
                <c:pt idx="0">
                  <c:v>23720508</c:v>
                </c:pt>
                <c:pt idx="1">
                  <c:v>26092559</c:v>
                </c:pt>
                <c:pt idx="2">
                  <c:v>28701814</c:v>
                </c:pt>
                <c:pt idx="3">
                  <c:v>31571996</c:v>
                </c:pt>
                <c:pt idx="4">
                  <c:v>34729195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1D-41AE-B96E-AB42979FA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195168"/>
        <c:axId val="95958336"/>
      </c:barChart>
      <c:catAx>
        <c:axId val="24819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8336"/>
        <c:crosses val="autoZero"/>
        <c:auto val="1"/>
        <c:lblAlgn val="ctr"/>
        <c:lblOffset val="100"/>
        <c:noMultiLvlLbl val="0"/>
      </c:catAx>
      <c:valAx>
        <c:axId val="959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19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>
                <a:effectLst/>
              </a:rPr>
              <a:t>LOW FORECAST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'Sensitivity Analysis'!$B$52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'Sensitivity Analysis'!$A$53:$A$57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Analysis'!$B$53:$B$57</c:f>
              <c:numCache>
                <c:formatCode>#,##0</c:formatCode>
                <c:ptCount val="5"/>
                <c:pt idx="0">
                  <c:v>244608000</c:v>
                </c:pt>
                <c:pt idx="1">
                  <c:v>269068800</c:v>
                </c:pt>
                <c:pt idx="2">
                  <c:v>295975680</c:v>
                </c:pt>
                <c:pt idx="3">
                  <c:v>325573248</c:v>
                </c:pt>
                <c:pt idx="4">
                  <c:v>358130573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5-4E17-BE05-89C80ABB3B92}"/>
            </c:ext>
          </c:extLst>
        </c:ser>
        <c:ser>
          <c:idx val="1"/>
          <c:order val="1"/>
          <c:tx>
            <c:strRef>
              <c:f>'Sensitivity Analysis'!$C$52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'Sensitivity Analysis'!$A$53:$A$57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Analysis'!$C$53:$C$57</c:f>
              <c:numCache>
                <c:formatCode>#,##0</c:formatCode>
                <c:ptCount val="5"/>
                <c:pt idx="0">
                  <c:v>9660000</c:v>
                </c:pt>
                <c:pt idx="1">
                  <c:v>10626000</c:v>
                </c:pt>
                <c:pt idx="2">
                  <c:v>11688600</c:v>
                </c:pt>
                <c:pt idx="3">
                  <c:v>12857460</c:v>
                </c:pt>
                <c:pt idx="4">
                  <c:v>14143206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5-4E17-BE05-89C80ABB3B92}"/>
            </c:ext>
          </c:extLst>
        </c:ser>
        <c:ser>
          <c:idx val="2"/>
          <c:order val="2"/>
          <c:tx>
            <c:strRef>
              <c:f>'Sensitivity Analysis'!$D$52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'Sensitivity Analysis'!$A$53:$A$57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Analysis'!$D$53:$D$57</c:f>
              <c:numCache>
                <c:formatCode>#,##0</c:formatCode>
                <c:ptCount val="5"/>
                <c:pt idx="0">
                  <c:v>18921840</c:v>
                </c:pt>
                <c:pt idx="1">
                  <c:v>20814024</c:v>
                </c:pt>
                <c:pt idx="2">
                  <c:v>22895426</c:v>
                </c:pt>
                <c:pt idx="3">
                  <c:v>25184969</c:v>
                </c:pt>
                <c:pt idx="4">
                  <c:v>27703466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D5-4E17-BE05-89C80ABB3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163616"/>
        <c:axId val="95950432"/>
      </c:barChart>
      <c:catAx>
        <c:axId val="212216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0432"/>
        <c:crosses val="autoZero"/>
        <c:auto val="1"/>
        <c:lblAlgn val="ctr"/>
        <c:lblOffset val="100"/>
        <c:noMultiLvlLbl val="0"/>
      </c:catAx>
      <c:valAx>
        <c:axId val="959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6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>
                <a:effectLst/>
              </a:rPr>
              <a:t>OPTIMISTIC FORECAST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'Sensitivity Analysis'!$M$52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'Sensitivity Analysis'!$L$53:$L$57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Analysis'!$M$53:$M$57</c:f>
              <c:numCache>
                <c:formatCode>#,##0</c:formatCode>
                <c:ptCount val="5"/>
                <c:pt idx="0">
                  <c:v>366912000</c:v>
                </c:pt>
                <c:pt idx="1">
                  <c:v>403603200</c:v>
                </c:pt>
                <c:pt idx="2">
                  <c:v>443963520</c:v>
                </c:pt>
                <c:pt idx="3">
                  <c:v>488359872</c:v>
                </c:pt>
                <c:pt idx="4">
                  <c:v>537195859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A-42FE-9E6D-7F34E9FA7BAA}"/>
            </c:ext>
          </c:extLst>
        </c:ser>
        <c:ser>
          <c:idx val="1"/>
          <c:order val="1"/>
          <c:tx>
            <c:strRef>
              <c:f>'Sensitivity Analysis'!$N$52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'Sensitivity Analysis'!$L$53:$L$57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Analysis'!$N$53:$N$57</c:f>
              <c:numCache>
                <c:formatCode>#,##0</c:formatCode>
                <c:ptCount val="5"/>
                <c:pt idx="0">
                  <c:v>10626000</c:v>
                </c:pt>
                <c:pt idx="1">
                  <c:v>11688600</c:v>
                </c:pt>
                <c:pt idx="2">
                  <c:v>12857460</c:v>
                </c:pt>
                <c:pt idx="3">
                  <c:v>14143206</c:v>
                </c:pt>
                <c:pt idx="4">
                  <c:v>15557527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A-42FE-9E6D-7F34E9FA7BAA}"/>
            </c:ext>
          </c:extLst>
        </c:ser>
        <c:ser>
          <c:idx val="2"/>
          <c:order val="2"/>
          <c:tx>
            <c:strRef>
              <c:f>'Sensitivity Analysis'!$O$52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'Sensitivity Analysis'!$L$53:$L$57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'Sensitivity Analysis'!$O$53:$O$57</c:f>
              <c:numCache>
                <c:formatCode>#,##0</c:formatCode>
                <c:ptCount val="5"/>
                <c:pt idx="0">
                  <c:v>38792712</c:v>
                </c:pt>
                <c:pt idx="1">
                  <c:v>42671983</c:v>
                </c:pt>
                <c:pt idx="2">
                  <c:v>46939182</c:v>
                </c:pt>
                <c:pt idx="3">
                  <c:v>51633100</c:v>
                </c:pt>
                <c:pt idx="4">
                  <c:v>56796410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A-42FE-9E6D-7F34E9FA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95664"/>
        <c:axId val="91997712"/>
      </c:barChart>
      <c:catAx>
        <c:axId val="9579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7712"/>
        <c:crosses val="autoZero"/>
        <c:auto val="1"/>
        <c:lblAlgn val="ctr"/>
        <c:lblOffset val="100"/>
        <c:noMultiLvlLbl val="0"/>
      </c:catAx>
      <c:valAx>
        <c:axId val="9199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'CASH FLOW'!$L$5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'CASH FLOW'!$K$6:$K$10</c:f>
              <c:strCache>
                <c:ptCount val="5"/>
                <c:pt idx="0">
                  <c:v>Year 1 </c:v>
                </c:pt>
                <c:pt idx="1">
                  <c:v>Year 2 </c:v>
                </c:pt>
                <c:pt idx="2">
                  <c:v>Year 3 </c:v>
                </c:pt>
                <c:pt idx="3">
                  <c:v>Year 4 </c:v>
                </c:pt>
                <c:pt idx="4">
                  <c:v>Year 5 </c:v>
                </c:pt>
              </c:strCache>
            </c:strRef>
          </c:cat>
          <c:val>
            <c:numRef>
              <c:f>'CASH FLOW'!$L$6:$L$10</c:f>
              <c:numCache>
                <c:formatCode>#,##0</c:formatCode>
                <c:ptCount val="5"/>
                <c:pt idx="0">
                  <c:v>30422000</c:v>
                </c:pt>
                <c:pt idx="1">
                  <c:v>33464200</c:v>
                </c:pt>
                <c:pt idx="2">
                  <c:v>36810600</c:v>
                </c:pt>
                <c:pt idx="3">
                  <c:v>40491660</c:v>
                </c:pt>
                <c:pt idx="4">
                  <c:v>44540826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D-4774-9FE8-8B1F666EDA8D}"/>
            </c:ext>
          </c:extLst>
        </c:ser>
        <c:ser>
          <c:idx val="1"/>
          <c:order val="1"/>
          <c:tx>
            <c:strRef>
              <c:f>'CASH FLOW'!$M$5</c:f>
              <c:strCache>
                <c:ptCount val="1"/>
                <c:pt idx="0">
                  <c:v>Cash Balance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'CASH FLOW'!$K$6:$K$10</c:f>
              <c:strCache>
                <c:ptCount val="5"/>
                <c:pt idx="0">
                  <c:v>Year 1 </c:v>
                </c:pt>
                <c:pt idx="1">
                  <c:v>Year 2 </c:v>
                </c:pt>
                <c:pt idx="2">
                  <c:v>Year 3 </c:v>
                </c:pt>
                <c:pt idx="3">
                  <c:v>Year 4 </c:v>
                </c:pt>
                <c:pt idx="4">
                  <c:v>Year 5 </c:v>
                </c:pt>
              </c:strCache>
            </c:strRef>
          </c:cat>
          <c:val>
            <c:numRef>
              <c:f>'CASH FLOW'!$M$6:$M$10</c:f>
              <c:numCache>
                <c:formatCode>#,##0</c:formatCode>
                <c:ptCount val="5"/>
                <c:pt idx="0">
                  <c:v>30422000</c:v>
                </c:pt>
                <c:pt idx="1">
                  <c:v>63886200</c:v>
                </c:pt>
                <c:pt idx="2">
                  <c:v>100696800</c:v>
                </c:pt>
                <c:pt idx="3">
                  <c:v>141188460</c:v>
                </c:pt>
                <c:pt idx="4">
                  <c:v>185729286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D-4774-9FE8-8B1F666ED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124096368"/>
        <c:axId val="95921312"/>
        <c:axId val="0"/>
      </c:bar3DChart>
      <c:catAx>
        <c:axId val="21240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21312"/>
        <c:crosses val="autoZero"/>
        <c:auto val="1"/>
        <c:lblAlgn val="ctr"/>
        <c:lblOffset val="100"/>
        <c:noMultiLvlLbl val="0"/>
      </c:catAx>
      <c:valAx>
        <c:axId val="959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09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Sheet'!$J$7</c:f>
              <c:strCache>
                <c:ptCount val="1"/>
                <c:pt idx="0">
                  <c:v>Net worth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Sheet'!$I$8:$I$12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'Balance Sheet'!$J$8:$J$12</c:f>
              <c:numCache>
                <c:formatCode>#,##0</c:formatCode>
                <c:ptCount val="5"/>
                <c:pt idx="0">
                  <c:v>44834000</c:v>
                </c:pt>
                <c:pt idx="1">
                  <c:v>74260200</c:v>
                </c:pt>
                <c:pt idx="2">
                  <c:v>107243300</c:v>
                </c:pt>
                <c:pt idx="3">
                  <c:v>143629610</c:v>
                </c:pt>
                <c:pt idx="4">
                  <c:v>183934551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C-4679-8F56-A25D0EEEF9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1480080"/>
        <c:axId val="275829328"/>
      </c:lineChart>
      <c:catAx>
        <c:axId val="35148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29328"/>
        <c:crosses val="autoZero"/>
        <c:auto val="1"/>
        <c:lblAlgn val="ctr"/>
        <c:lblOffset val="100"/>
        <c:noMultiLvlLbl val="0"/>
      </c:catAx>
      <c:valAx>
        <c:axId val="2758293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35148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Break-even</a:t>
            </a:r>
            <a:r>
              <a:rPr lang="en-GB" baseline="0"/>
              <a:t> Curve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 Even Analysis'!$J$4</c:f>
              <c:strCache>
                <c:ptCount val="1"/>
                <c:pt idx="0">
                  <c:v>Break-even Income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'Break Even Analysis'!$I$5:$I$9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'Break Even Analysis'!$J$5:$J$9</c:f>
              <c:numCache>
                <c:formatCode>#,##0</c:formatCode>
                <c:ptCount val="5"/>
                <c:pt idx="0">
                  <c:v>52200000</c:v>
                </c:pt>
                <c:pt idx="1">
                  <c:v>57420000</c:v>
                </c:pt>
                <c:pt idx="2">
                  <c:v>63162000</c:v>
                </c:pt>
                <c:pt idx="3">
                  <c:v>69478200</c:v>
                </c:pt>
                <c:pt idx="4">
                  <c:v>76426020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C-45DD-9347-76E014393CFE}"/>
            </c:ext>
          </c:extLst>
        </c:ser>
        <c:ser>
          <c:idx val="1"/>
          <c:order val="1"/>
          <c:tx>
            <c:strRef>
              <c:f>'Break Even Analysis'!$K$4</c:f>
              <c:strCache>
                <c:ptCount val="1"/>
                <c:pt idx="0">
                  <c:v>Revenue 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'Break Even Analysis'!$I$5:$I$9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'Break Even Analysis'!$K$5:$K$9</c:f>
              <c:numCache>
                <c:formatCode>#,##0</c:formatCode>
                <c:ptCount val="5"/>
                <c:pt idx="0">
                  <c:v>305760000</c:v>
                </c:pt>
                <c:pt idx="1">
                  <c:v>336336000</c:v>
                </c:pt>
                <c:pt idx="2">
                  <c:v>369969600</c:v>
                </c:pt>
                <c:pt idx="3">
                  <c:v>406966560</c:v>
                </c:pt>
                <c:pt idx="4">
                  <c:v>447663216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AC-45DD-9347-76E014393C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1512880"/>
        <c:axId val="275854704"/>
      </c:lineChart>
      <c:catAx>
        <c:axId val="35151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54704"/>
        <c:crosses val="autoZero"/>
        <c:auto val="1"/>
        <c:lblAlgn val="ctr"/>
        <c:lblOffset val="100"/>
        <c:noMultiLvlLbl val="0"/>
      </c:catAx>
      <c:valAx>
        <c:axId val="275854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35151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Financial Overview</a:t>
            </a:r>
            <a:endParaRPr lang="en-GB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Overview'!$J$4</c:f>
              <c:strCache>
                <c:ptCount val="1"/>
                <c:pt idx="0">
                  <c:v>Revenue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'Financial Overview'!$I$5:$I$9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'Financial Overview'!$J$5:$J$9</c:f>
              <c:numCache>
                <c:formatCode>#,##0</c:formatCode>
                <c:ptCount val="5"/>
                <c:pt idx="0">
                  <c:v>302400000</c:v>
                </c:pt>
                <c:pt idx="1">
                  <c:v>332640000</c:v>
                </c:pt>
                <c:pt idx="2">
                  <c:v>365904000</c:v>
                </c:pt>
                <c:pt idx="3">
                  <c:v>402494400</c:v>
                </c:pt>
                <c:pt idx="4">
                  <c:v>442743840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6-4E67-8FC9-6DD74DCDF85C}"/>
            </c:ext>
          </c:extLst>
        </c:ser>
        <c:ser>
          <c:idx val="1"/>
          <c:order val="1"/>
          <c:tx>
            <c:strRef>
              <c:f>'Financial Overview'!$K$4</c:f>
              <c:strCache>
                <c:ptCount val="1"/>
                <c:pt idx="0">
                  <c:v>Cost of Gas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'Financial Overview'!$I$5:$I$9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'Financial Overview'!$K$5:$K$9</c:f>
              <c:numCache>
                <c:formatCode>#,##0</c:formatCode>
                <c:ptCount val="5"/>
                <c:pt idx="0">
                  <c:v>252000000</c:v>
                </c:pt>
                <c:pt idx="1">
                  <c:v>277200000</c:v>
                </c:pt>
                <c:pt idx="2">
                  <c:v>304920000</c:v>
                </c:pt>
                <c:pt idx="3">
                  <c:v>335412000</c:v>
                </c:pt>
                <c:pt idx="4">
                  <c:v>368953200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6-4E67-8FC9-6DD74DCDF85C}"/>
            </c:ext>
          </c:extLst>
        </c:ser>
        <c:ser>
          <c:idx val="2"/>
          <c:order val="2"/>
          <c:tx>
            <c:strRef>
              <c:f>'Financial Overview'!$L$4</c:f>
              <c:strCache>
                <c:ptCount val="1"/>
                <c:pt idx="0">
                  <c:v>Operating Expenses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'Financial Overview'!$I$5:$I$9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'Financial Overview'!$L$5:$L$9</c:f>
              <c:numCache>
                <c:formatCode>#,##0</c:formatCode>
                <c:ptCount val="5"/>
                <c:pt idx="0">
                  <c:v>8700000</c:v>
                </c:pt>
                <c:pt idx="1">
                  <c:v>9570000</c:v>
                </c:pt>
                <c:pt idx="2">
                  <c:v>10527000</c:v>
                </c:pt>
                <c:pt idx="3">
                  <c:v>11579700</c:v>
                </c:pt>
                <c:pt idx="4">
                  <c:v>12737670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E6-4E67-8FC9-6DD74DCDF85C}"/>
            </c:ext>
          </c:extLst>
        </c:ser>
        <c:ser>
          <c:idx val="3"/>
          <c:order val="3"/>
          <c:tx>
            <c:strRef>
              <c:f>'Financial Overview'!$M$4</c:f>
              <c:strCache>
                <c:ptCount val="1"/>
                <c:pt idx="0">
                  <c:v>Net Profit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'Financial Overview'!$I$5:$I$9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'Financial Overview'!$M$5:$M$9</c:f>
              <c:numCache>
                <c:formatCode>#,##0</c:formatCode>
                <c:ptCount val="5"/>
                <c:pt idx="0">
                  <c:v>27230000</c:v>
                </c:pt>
                <c:pt idx="1">
                  <c:v>30149000</c:v>
                </c:pt>
                <c:pt idx="2">
                  <c:v>33359900</c:v>
                </c:pt>
                <c:pt idx="3">
                  <c:v>36891890</c:v>
                </c:pt>
                <c:pt idx="4">
                  <c:v>40777079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E6-4E67-8FC9-6DD74DCDF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7515856"/>
        <c:axId val="275846800"/>
      </c:barChart>
      <c:catAx>
        <c:axId val="34751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46800"/>
        <c:crosses val="autoZero"/>
        <c:auto val="1"/>
        <c:lblAlgn val="ctr"/>
        <c:lblOffset val="100"/>
        <c:noMultiLvlLbl val="0"/>
      </c:catAx>
      <c:valAx>
        <c:axId val="2758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1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380999</xdr:colOff>
      <xdr:row>3</xdr:row>
      <xdr:rowOff>119062</xdr:rowOff>
    </xdr:from>
    <xdr:to>
      <xdr:col>17</xdr:col>
      <xdr:colOff>419099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C5187-1857-4169-AD5F-C18861BA0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116417</xdr:rowOff>
    </xdr:from>
    <xdr:to>
      <xdr:col>5</xdr:col>
      <xdr:colOff>857250</xdr:colOff>
      <xdr:row>34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3B944C-38F4-4FF2-B4F1-841212E83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433916</xdr:colOff>
      <xdr:row>17</xdr:row>
      <xdr:rowOff>185736</xdr:rowOff>
    </xdr:from>
    <xdr:to>
      <xdr:col>16</xdr:col>
      <xdr:colOff>876299</xdr:colOff>
      <xdr:row>33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D52928-A94A-491B-AF93-DEFCCC420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50</xdr:row>
      <xdr:rowOff>157162</xdr:rowOff>
    </xdr:from>
    <xdr:to>
      <xdr:col>6</xdr:col>
      <xdr:colOff>11906</xdr:colOff>
      <xdr:row>69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CFB2C0C-20F9-4587-A28B-EFFE5F1D7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547688</xdr:colOff>
      <xdr:row>50</xdr:row>
      <xdr:rowOff>170259</xdr:rowOff>
    </xdr:from>
    <xdr:to>
      <xdr:col>16</xdr:col>
      <xdr:colOff>869155</xdr:colOff>
      <xdr:row>68</xdr:row>
      <xdr:rowOff>154781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82604E-7065-45A4-BB50-B2E731430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3</xdr:row>
      <xdr:rowOff>138112</xdr:rowOff>
    </xdr:from>
    <xdr:to>
      <xdr:col>14</xdr:col>
      <xdr:colOff>390525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DF3DBA-58AD-4B95-81CE-ADDFDE81F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4</xdr:row>
      <xdr:rowOff>161924</xdr:rowOff>
    </xdr:from>
    <xdr:to>
      <xdr:col>14</xdr:col>
      <xdr:colOff>314325</xdr:colOff>
      <xdr:row>15</xdr:row>
      <xdr:rowOff>52386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63B47-7B89-418D-AED5-C9B8674F9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228599</xdr:colOff>
      <xdr:row>1</xdr:row>
      <xdr:rowOff>80962</xdr:rowOff>
    </xdr:from>
    <xdr:to>
      <xdr:col>15</xdr:col>
      <xdr:colOff>219074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897C2-4280-4E87-A08B-73DFC78BD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61911</xdr:rowOff>
    </xdr:from>
    <xdr:to>
      <xdr:col>16</xdr:col>
      <xdr:colOff>123825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39CD96-A1B4-493D-9295-581815E3D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nk%20fi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YEAR 1</v>
          </cell>
          <cell r="B1">
            <v>26950000</v>
          </cell>
        </row>
        <row r="2">
          <cell r="A2" t="str">
            <v>YEAR 2</v>
          </cell>
          <cell r="B2">
            <v>29841000</v>
          </cell>
        </row>
        <row r="3">
          <cell r="A3" t="str">
            <v>YEAR 3</v>
          </cell>
          <cell r="B3">
            <v>33021100</v>
          </cell>
        </row>
        <row r="4">
          <cell r="A4" t="str">
            <v>YEAR 4</v>
          </cell>
          <cell r="B4">
            <v>36519210</v>
          </cell>
        </row>
        <row r="5">
          <cell r="A5" t="str">
            <v>YEAR 5</v>
          </cell>
          <cell r="B5">
            <v>40367131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AF2F8-C352-479E-9571-77CD3B0ED769}" name="Table1" displayName="Table1" ref="A19:D24" totalsRowShown="0">
  <tableColumns count="4">
    <tableColumn id="1" xr3:uid="{9DBCBE83-05EC-49FB-AC3C-E74295F7DCE9}" name=" "/>
    <tableColumn id="2" xr3:uid="{EBC291E3-53DF-4C11-8095-70464A410D80}" name="Total Sales"/>
    <tableColumn id="3" xr3:uid="{87616BFC-7BB6-4BB3-A5B0-8D73E4A7DCD2}" name="Total Operating Expenses"/>
    <tableColumn id="4" xr3:uid="{AFE7B371-6232-4E21-A708-DA444EBC6CBA}" name="Net Prof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D4E805-3A8A-4240-B087-629E805436AC}" name="Table13" displayName="Table13" ref="L19:O24" totalsRowShown="0">
  <tableColumns count="4">
    <tableColumn id="1" xr3:uid="{73BC1E92-A12F-4BB4-8886-D07A5B4AC71B}" name=" "/>
    <tableColumn id="2" xr3:uid="{6F8B84BC-693D-4755-990E-5A94D494BB10}" name="Total Sales"/>
    <tableColumn id="3" xr3:uid="{6B7EA771-BC54-4083-8B22-ED273EFA0425}" name="Total Operating Expenses "/>
    <tableColumn id="4" xr3:uid="{52486195-484E-4200-9DD7-7C5E2653EAC1}" name="Net Profi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308653-34DF-4459-8C3E-A86B411CA4B4}" name="Table14" displayName="Table14" ref="A52:D57" totalsRowShown="0">
  <tableColumns count="4">
    <tableColumn id="1" xr3:uid="{F5CA8FBC-EC6F-43BA-B49E-3F3F32E53192}" name=" "/>
    <tableColumn id="2" xr3:uid="{0A06D318-1F7C-4209-885B-7F13F6859AD2}" name="Total Sales"/>
    <tableColumn id="3" xr3:uid="{6CA711E3-2FB8-4DA4-B5B4-03CB4E22B7A9}" name="Total Operating Expenses"/>
    <tableColumn id="4" xr3:uid="{6405A1C1-318A-4ACE-8FC6-6FA5897EF761}" name="Net Profi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AB873-0649-42B8-93B3-D314711C7AEE}" name="Table15" displayName="Table15" ref="L52:O57" totalsRowShown="0">
  <tableColumns count="4">
    <tableColumn id="1" xr3:uid="{FAC0AA69-38BC-41D8-B88E-17BB7F1550A3}" name=" "/>
    <tableColumn id="2" xr3:uid="{03679225-218B-4699-A156-198CC80FC9D6}" name="Total Sales"/>
    <tableColumn id="3" xr3:uid="{25689521-1320-4B51-8803-D0A661893634}" name="Total Operating Expenses"/>
    <tableColumn id="4" xr3:uid="{1BCD6210-F54C-479B-870F-3B69987A212D}" name="Net 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0E97-AAAD-4532-BE0F-7E63F222BAC7}">
  <dimension ref="A1:F17"/>
  <sheetViews>
    <sheetView topLeftCell="D3" workbookViewId="0">
      <selection activeCell="F5" sqref="F5"/>
    </sheetView>
  </sheetViews>
  <sheetFormatPr defaultRowHeight="15" x14ac:dyDescent="0.25"/>
  <cols>
    <col min="1" max="4" width="9.140625" style="70"/>
    <col min="5" max="6" width="39.5703125" customWidth="1"/>
  </cols>
  <sheetData>
    <row r="1" spans="5:6" s="70" customFormat="1" x14ac:dyDescent="0.25"/>
    <row r="2" spans="5:6" s="70" customFormat="1" ht="45" x14ac:dyDescent="0.6">
      <c r="E2" s="106" t="s">
        <v>38</v>
      </c>
    </row>
    <row r="3" spans="5:6" s="70" customFormat="1" ht="33" x14ac:dyDescent="0.45">
      <c r="E3" s="107" t="s">
        <v>37</v>
      </c>
    </row>
    <row r="4" spans="5:6" ht="24" thickBot="1" x14ac:dyDescent="0.3">
      <c r="E4" s="6" t="s">
        <v>39</v>
      </c>
      <c r="F4" s="65"/>
    </row>
    <row r="5" spans="5:6" ht="15.75" thickBot="1" x14ac:dyDescent="0.3">
      <c r="E5" s="7" t="s">
        <v>2</v>
      </c>
      <c r="F5" s="8" t="s">
        <v>353</v>
      </c>
    </row>
    <row r="6" spans="5:6" ht="15.75" thickBot="1" x14ac:dyDescent="0.3">
      <c r="E6" s="2" t="s">
        <v>4</v>
      </c>
      <c r="F6" s="9" t="s">
        <v>346</v>
      </c>
    </row>
    <row r="7" spans="5:6" ht="15.75" thickBot="1" x14ac:dyDescent="0.3">
      <c r="E7" s="2" t="s">
        <v>5</v>
      </c>
      <c r="F7" s="9" t="s">
        <v>347</v>
      </c>
    </row>
    <row r="8" spans="5:6" ht="15.75" thickBot="1" x14ac:dyDescent="0.3">
      <c r="E8" s="2" t="s">
        <v>6</v>
      </c>
      <c r="F8" s="9" t="s">
        <v>348</v>
      </c>
    </row>
    <row r="9" spans="5:6" ht="15.75" thickBot="1" x14ac:dyDescent="0.3">
      <c r="E9" s="2" t="s">
        <v>7</v>
      </c>
      <c r="F9" s="9" t="s">
        <v>349</v>
      </c>
    </row>
    <row r="10" spans="5:6" ht="15.75" thickBot="1" x14ac:dyDescent="0.3">
      <c r="E10" s="2" t="s">
        <v>8</v>
      </c>
      <c r="F10" s="9" t="s">
        <v>350</v>
      </c>
    </row>
    <row r="11" spans="5:6" ht="15.75" thickBot="1" x14ac:dyDescent="0.3">
      <c r="E11" s="2" t="s">
        <v>9</v>
      </c>
      <c r="F11" s="9" t="s">
        <v>350</v>
      </c>
    </row>
    <row r="12" spans="5:6" ht="15.75" thickBot="1" x14ac:dyDescent="0.3">
      <c r="E12" s="2" t="s">
        <v>10</v>
      </c>
      <c r="F12" s="9" t="s">
        <v>351</v>
      </c>
    </row>
    <row r="13" spans="5:6" ht="15.75" thickBot="1" x14ac:dyDescent="0.3">
      <c r="E13" s="2" t="s">
        <v>11</v>
      </c>
      <c r="F13" s="9" t="s">
        <v>350</v>
      </c>
    </row>
    <row r="14" spans="5:6" ht="15.75" thickBot="1" x14ac:dyDescent="0.3">
      <c r="E14" s="2" t="s">
        <v>12</v>
      </c>
      <c r="F14" s="9" t="s">
        <v>348</v>
      </c>
    </row>
    <row r="15" spans="5:6" ht="15.75" thickBot="1" x14ac:dyDescent="0.3">
      <c r="E15" s="2" t="s">
        <v>13</v>
      </c>
      <c r="F15" s="9" t="s">
        <v>352</v>
      </c>
    </row>
    <row r="16" spans="5:6" ht="15.75" thickBot="1" x14ac:dyDescent="0.3">
      <c r="E16" s="2"/>
      <c r="F16" s="4"/>
    </row>
    <row r="17" spans="1:6" s="111" customFormat="1" ht="24" thickBot="1" x14ac:dyDescent="0.4">
      <c r="A17" s="108"/>
      <c r="B17" s="108"/>
      <c r="C17" s="108"/>
      <c r="D17" s="108"/>
      <c r="E17" s="109" t="s">
        <v>207</v>
      </c>
      <c r="F17" s="1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1E76-1265-460E-9368-66A2CFC51097}">
  <dimension ref="A1:C14"/>
  <sheetViews>
    <sheetView workbookViewId="0">
      <selection activeCell="B14" sqref="B14"/>
    </sheetView>
  </sheetViews>
  <sheetFormatPr defaultRowHeight="15" x14ac:dyDescent="0.25"/>
  <cols>
    <col min="1" max="2" width="39.5703125" customWidth="1"/>
    <col min="3" max="3" width="12.28515625" customWidth="1"/>
  </cols>
  <sheetData>
    <row r="1" spans="1:3" s="101" customFormat="1" ht="24" thickBot="1" x14ac:dyDescent="0.3">
      <c r="A1" s="100" t="s">
        <v>16</v>
      </c>
    </row>
    <row r="2" spans="1:3" ht="15.75" thickBot="1" x14ac:dyDescent="0.3">
      <c r="A2" s="7" t="s">
        <v>17</v>
      </c>
      <c r="B2" s="8" t="s">
        <v>0</v>
      </c>
      <c r="C2" s="8" t="s">
        <v>3</v>
      </c>
    </row>
    <row r="3" spans="1:3" s="70" customFormat="1" ht="15.75" thickBot="1" x14ac:dyDescent="0.3">
      <c r="A3" s="71" t="s">
        <v>343</v>
      </c>
      <c r="B3" s="72" t="s">
        <v>18</v>
      </c>
      <c r="C3" s="102">
        <v>21000000</v>
      </c>
    </row>
    <row r="4" spans="1:3" ht="15.75" thickBot="1" x14ac:dyDescent="0.3">
      <c r="A4" s="2" t="s">
        <v>19</v>
      </c>
      <c r="B4" s="4" t="s">
        <v>20</v>
      </c>
      <c r="C4" s="9">
        <v>150000</v>
      </c>
    </row>
    <row r="5" spans="1:3" ht="15.75" thickBot="1" x14ac:dyDescent="0.3">
      <c r="A5" s="2" t="s">
        <v>21</v>
      </c>
      <c r="B5" s="4" t="s">
        <v>22</v>
      </c>
      <c r="C5" s="9">
        <v>80000</v>
      </c>
    </row>
    <row r="6" spans="1:3" ht="15.75" thickBot="1" x14ac:dyDescent="0.3">
      <c r="A6" s="2" t="s">
        <v>23</v>
      </c>
      <c r="B6" s="4" t="s">
        <v>24</v>
      </c>
      <c r="C6" s="9">
        <v>80000</v>
      </c>
    </row>
    <row r="7" spans="1:3" ht="15.75" thickBot="1" x14ac:dyDescent="0.3">
      <c r="A7" s="2" t="s">
        <v>25</v>
      </c>
      <c r="B7" s="4" t="s">
        <v>26</v>
      </c>
      <c r="C7" s="9">
        <v>250000</v>
      </c>
    </row>
    <row r="8" spans="1:3" ht="15.75" thickBot="1" x14ac:dyDescent="0.3">
      <c r="A8" s="2" t="s">
        <v>27</v>
      </c>
      <c r="B8" s="4" t="s">
        <v>28</v>
      </c>
      <c r="C8" s="9">
        <v>50000</v>
      </c>
    </row>
    <row r="9" spans="1:3" ht="15.75" thickBot="1" x14ac:dyDescent="0.3">
      <c r="A9" s="2" t="s">
        <v>29</v>
      </c>
      <c r="B9" s="4" t="s">
        <v>30</v>
      </c>
      <c r="C9" s="9">
        <v>50000</v>
      </c>
    </row>
    <row r="10" spans="1:3" ht="15.75" thickBot="1" x14ac:dyDescent="0.3">
      <c r="A10" s="2" t="s">
        <v>14</v>
      </c>
      <c r="B10" s="4" t="s">
        <v>31</v>
      </c>
      <c r="C10" s="9">
        <v>25000</v>
      </c>
    </row>
    <row r="11" spans="1:3" ht="15.75" thickBot="1" x14ac:dyDescent="0.3">
      <c r="A11" s="2" t="s">
        <v>344</v>
      </c>
      <c r="B11" s="4" t="s">
        <v>345</v>
      </c>
      <c r="C11" s="9">
        <v>40000</v>
      </c>
    </row>
    <row r="12" spans="1:3" ht="15.75" thickBot="1" x14ac:dyDescent="0.3">
      <c r="A12" s="2"/>
      <c r="B12" s="4"/>
      <c r="C12" s="4"/>
    </row>
    <row r="13" spans="1:3" s="105" customFormat="1" ht="15.75" thickBot="1" x14ac:dyDescent="0.3">
      <c r="A13" s="103" t="s">
        <v>33</v>
      </c>
      <c r="B13" s="104" t="s">
        <v>354</v>
      </c>
      <c r="C13" s="104" t="s">
        <v>34</v>
      </c>
    </row>
    <row r="14" spans="1:3" s="70" customFormat="1" ht="29.25" thickBot="1" x14ac:dyDescent="0.3">
      <c r="A14" s="71" t="s">
        <v>35</v>
      </c>
      <c r="B14" s="72" t="s">
        <v>354</v>
      </c>
      <c r="C14" s="7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F04E-BBF4-4DCF-993D-126523436B4F}">
  <dimension ref="A1:L33"/>
  <sheetViews>
    <sheetView topLeftCell="D1" zoomScale="70" zoomScaleNormal="70" workbookViewId="0">
      <selection activeCell="D8" sqref="D8"/>
    </sheetView>
  </sheetViews>
  <sheetFormatPr defaultRowHeight="15" x14ac:dyDescent="0.25"/>
  <cols>
    <col min="1" max="6" width="20.28515625" customWidth="1"/>
    <col min="12" max="12" width="6.85546875" bestFit="1" customWidth="1"/>
    <col min="13" max="13" width="10.140625" bestFit="1" customWidth="1"/>
  </cols>
  <sheetData>
    <row r="1" spans="1:12" s="79" customFormat="1" ht="27" thickBot="1" x14ac:dyDescent="0.45">
      <c r="A1" s="97" t="s">
        <v>40</v>
      </c>
    </row>
    <row r="2" spans="1:12" s="84" customFormat="1" ht="19.5" thickBot="1" x14ac:dyDescent="0.35">
      <c r="A2" s="98"/>
      <c r="B2" s="99" t="s">
        <v>75</v>
      </c>
      <c r="C2" s="99" t="s">
        <v>74</v>
      </c>
      <c r="D2" s="99" t="s">
        <v>73</v>
      </c>
      <c r="E2" s="99" t="s">
        <v>72</v>
      </c>
      <c r="F2" s="99" t="s">
        <v>71</v>
      </c>
    </row>
    <row r="3" spans="1:12" ht="15.75" thickBot="1" x14ac:dyDescent="0.3">
      <c r="A3" s="2" t="s">
        <v>41</v>
      </c>
      <c r="B3" s="9">
        <v>5880000</v>
      </c>
      <c r="C3" s="9">
        <v>6468000</v>
      </c>
      <c r="D3" s="9">
        <v>7114800</v>
      </c>
      <c r="E3" s="9">
        <v>7826280</v>
      </c>
      <c r="F3" s="9">
        <v>8608908</v>
      </c>
    </row>
    <row r="4" spans="1:12" ht="15.75" thickBot="1" x14ac:dyDescent="0.3">
      <c r="A4" s="2" t="s">
        <v>42</v>
      </c>
      <c r="B4" s="4">
        <v>52</v>
      </c>
      <c r="C4" s="4">
        <v>52</v>
      </c>
      <c r="D4" s="4">
        <v>52</v>
      </c>
      <c r="E4" s="4">
        <v>52</v>
      </c>
      <c r="F4" s="4">
        <v>52</v>
      </c>
    </row>
    <row r="5" spans="1:12" ht="15.75" thickBot="1" x14ac:dyDescent="0.3">
      <c r="A5" s="15" t="s">
        <v>43</v>
      </c>
      <c r="B5" s="16">
        <v>305760000</v>
      </c>
      <c r="C5" s="16">
        <v>336336000</v>
      </c>
      <c r="D5" s="16">
        <v>369969600</v>
      </c>
      <c r="E5" s="16">
        <v>406966560</v>
      </c>
      <c r="F5" s="16">
        <v>447663216</v>
      </c>
    </row>
    <row r="6" spans="1:12" ht="15.75" thickBot="1" x14ac:dyDescent="0.3">
      <c r="A6" s="15" t="s">
        <v>44</v>
      </c>
      <c r="B6" s="16">
        <v>254800000</v>
      </c>
      <c r="C6" s="16">
        <v>280280000</v>
      </c>
      <c r="D6" s="16">
        <v>308308000</v>
      </c>
      <c r="E6" s="16">
        <v>339138800</v>
      </c>
      <c r="F6" s="16">
        <v>373052680</v>
      </c>
    </row>
    <row r="7" spans="1:12" ht="15.75" thickBot="1" x14ac:dyDescent="0.3">
      <c r="A7" s="15" t="s">
        <v>1</v>
      </c>
      <c r="B7" s="9">
        <v>50960000</v>
      </c>
      <c r="C7" s="9">
        <v>56056000</v>
      </c>
      <c r="D7" s="9">
        <v>61661600</v>
      </c>
      <c r="E7" s="9">
        <v>67827760</v>
      </c>
      <c r="F7" s="9">
        <v>74610536</v>
      </c>
    </row>
    <row r="8" spans="1:12" ht="15.75" thickBot="1" x14ac:dyDescent="0.3">
      <c r="A8" s="15" t="s">
        <v>45</v>
      </c>
      <c r="B8" s="11">
        <v>0.16669999999999999</v>
      </c>
      <c r="C8" s="11">
        <v>0.16669999999999999</v>
      </c>
      <c r="D8" s="11">
        <v>0.16669999999999999</v>
      </c>
      <c r="E8" s="11">
        <v>0.16669999999999999</v>
      </c>
      <c r="F8" s="11">
        <v>0.16669999999999999</v>
      </c>
      <c r="K8" s="28" t="s">
        <v>202</v>
      </c>
      <c r="L8" s="29">
        <v>26950000</v>
      </c>
    </row>
    <row r="9" spans="1:12" ht="15.75" thickBot="1" x14ac:dyDescent="0.3">
      <c r="A9" s="2"/>
      <c r="B9" s="11"/>
      <c r="C9" s="11"/>
      <c r="D9" s="11"/>
      <c r="E9" s="11"/>
      <c r="F9" s="11"/>
      <c r="K9" s="1" t="s">
        <v>203</v>
      </c>
      <c r="L9" s="30">
        <v>29841000</v>
      </c>
    </row>
    <row r="10" spans="1:12" ht="15.75" thickBot="1" x14ac:dyDescent="0.3">
      <c r="A10" s="14" t="s">
        <v>55</v>
      </c>
      <c r="B10" s="11"/>
      <c r="C10" s="11"/>
      <c r="D10" s="11"/>
      <c r="E10" s="11"/>
      <c r="F10" s="11"/>
      <c r="K10" s="1" t="s">
        <v>204</v>
      </c>
      <c r="L10" s="30">
        <v>33021100</v>
      </c>
    </row>
    <row r="11" spans="1:12" ht="15.75" thickBot="1" x14ac:dyDescent="0.3">
      <c r="A11" s="2" t="s">
        <v>18</v>
      </c>
      <c r="B11" s="9">
        <v>254800000</v>
      </c>
      <c r="C11" s="9">
        <v>280280000</v>
      </c>
      <c r="D11" s="9">
        <v>308308000</v>
      </c>
      <c r="E11" s="9">
        <v>339138800</v>
      </c>
      <c r="F11" s="9">
        <v>373052680</v>
      </c>
      <c r="K11" s="1" t="s">
        <v>205</v>
      </c>
      <c r="L11" s="30">
        <v>36519210</v>
      </c>
    </row>
    <row r="12" spans="1:12" ht="15.75" thickBot="1" x14ac:dyDescent="0.3">
      <c r="A12" s="2" t="s">
        <v>51</v>
      </c>
      <c r="B12" s="9">
        <v>600000</v>
      </c>
      <c r="C12" s="9">
        <v>660000</v>
      </c>
      <c r="D12" s="9">
        <v>726000</v>
      </c>
      <c r="E12" s="9">
        <v>798600</v>
      </c>
      <c r="F12" s="9">
        <v>878460</v>
      </c>
      <c r="K12" s="1" t="s">
        <v>206</v>
      </c>
      <c r="L12" s="30">
        <v>40367131</v>
      </c>
    </row>
    <row r="13" spans="1:12" ht="15.75" thickBot="1" x14ac:dyDescent="0.3">
      <c r="A13" s="2" t="s">
        <v>20</v>
      </c>
      <c r="B13" s="9">
        <v>1200000</v>
      </c>
      <c r="C13" s="9">
        <v>1320000</v>
      </c>
      <c r="D13" s="9">
        <v>1452000</v>
      </c>
      <c r="E13" s="9">
        <v>1597200</v>
      </c>
      <c r="F13" s="9">
        <v>1756920</v>
      </c>
    </row>
    <row r="14" spans="1:12" ht="29.25" thickBot="1" x14ac:dyDescent="0.3">
      <c r="A14" s="2" t="s">
        <v>52</v>
      </c>
      <c r="B14" s="9">
        <v>960000</v>
      </c>
      <c r="C14" s="9">
        <v>1056000</v>
      </c>
      <c r="D14" s="9">
        <v>1161600</v>
      </c>
      <c r="E14" s="9">
        <v>1277760</v>
      </c>
      <c r="F14" s="9">
        <v>1405536</v>
      </c>
    </row>
    <row r="15" spans="1:12" ht="29.25" thickBot="1" x14ac:dyDescent="0.3">
      <c r="A15" s="2" t="s">
        <v>24</v>
      </c>
      <c r="B15" s="9">
        <v>960000</v>
      </c>
      <c r="C15" s="9">
        <v>1056000</v>
      </c>
      <c r="D15" s="9">
        <v>1161600</v>
      </c>
      <c r="E15" s="9">
        <v>1277760</v>
      </c>
      <c r="F15" s="9">
        <v>1405536</v>
      </c>
    </row>
    <row r="16" spans="1:12" ht="15.75" thickBot="1" x14ac:dyDescent="0.3">
      <c r="A16" s="2" t="s">
        <v>26</v>
      </c>
      <c r="B16" s="9">
        <v>3000000</v>
      </c>
      <c r="C16" s="9">
        <v>3300000</v>
      </c>
      <c r="D16" s="9">
        <v>3630000</v>
      </c>
      <c r="E16" s="9">
        <v>3993000</v>
      </c>
      <c r="F16" s="9">
        <v>4392300</v>
      </c>
    </row>
    <row r="17" spans="1:6" ht="15.75" thickBot="1" x14ac:dyDescent="0.3">
      <c r="A17" s="2" t="s">
        <v>53</v>
      </c>
      <c r="B17" s="9">
        <v>600000</v>
      </c>
      <c r="C17" s="9">
        <v>660000</v>
      </c>
      <c r="D17" s="9">
        <v>726000</v>
      </c>
      <c r="E17" s="9">
        <v>798600</v>
      </c>
      <c r="F17" s="9">
        <v>878460</v>
      </c>
    </row>
    <row r="18" spans="1:6" ht="15.75" thickBot="1" x14ac:dyDescent="0.3">
      <c r="A18" s="2" t="s">
        <v>29</v>
      </c>
      <c r="B18" s="9">
        <v>600000</v>
      </c>
      <c r="C18" s="9">
        <v>660000</v>
      </c>
      <c r="D18" s="9">
        <v>726000</v>
      </c>
      <c r="E18" s="9">
        <v>798600</v>
      </c>
      <c r="F18" s="9">
        <v>878460</v>
      </c>
    </row>
    <row r="19" spans="1:6" ht="15.75" thickBot="1" x14ac:dyDescent="0.3">
      <c r="A19" s="2" t="s">
        <v>14</v>
      </c>
      <c r="B19" s="9">
        <v>300000</v>
      </c>
      <c r="C19" s="9">
        <v>330000</v>
      </c>
      <c r="D19" s="9">
        <v>363000</v>
      </c>
      <c r="E19" s="9">
        <v>399300</v>
      </c>
      <c r="F19" s="9">
        <v>439230</v>
      </c>
    </row>
    <row r="20" spans="1:6" ht="15.75" thickBot="1" x14ac:dyDescent="0.3">
      <c r="A20" s="2" t="s">
        <v>32</v>
      </c>
      <c r="B20" s="9">
        <v>480000</v>
      </c>
      <c r="C20" s="9">
        <v>528000</v>
      </c>
      <c r="D20" s="9">
        <v>580800</v>
      </c>
      <c r="E20" s="9">
        <v>638880</v>
      </c>
      <c r="F20" s="9">
        <v>702768</v>
      </c>
    </row>
    <row r="21" spans="1:6" ht="29.25" thickBot="1" x14ac:dyDescent="0.3">
      <c r="A21" s="15" t="s">
        <v>54</v>
      </c>
      <c r="B21" s="16">
        <v>9660000</v>
      </c>
      <c r="C21" s="16">
        <v>10626000</v>
      </c>
      <c r="D21" s="16">
        <v>11688600</v>
      </c>
      <c r="E21" s="16">
        <v>12857460</v>
      </c>
      <c r="F21" s="16">
        <v>14143206</v>
      </c>
    </row>
    <row r="22" spans="1:6" ht="15.75" thickBot="1" x14ac:dyDescent="0.3">
      <c r="A22" s="15"/>
      <c r="B22" s="16"/>
      <c r="C22" s="16"/>
      <c r="D22" s="16"/>
      <c r="E22" s="16"/>
      <c r="F22" s="16"/>
    </row>
    <row r="23" spans="1:6" ht="15.75" thickBot="1" x14ac:dyDescent="0.3">
      <c r="A23" s="14" t="s">
        <v>65</v>
      </c>
      <c r="B23" s="16"/>
      <c r="C23" s="16"/>
      <c r="D23" s="16"/>
      <c r="E23" s="16"/>
      <c r="F23" s="16"/>
    </row>
    <row r="24" spans="1:6" ht="15.75" thickBot="1" x14ac:dyDescent="0.3">
      <c r="A24" s="2" t="s">
        <v>56</v>
      </c>
      <c r="B24" s="9">
        <v>41300000</v>
      </c>
      <c r="C24" s="9">
        <v>45430000</v>
      </c>
      <c r="D24" s="9">
        <v>49973000</v>
      </c>
      <c r="E24" s="9">
        <v>54970300</v>
      </c>
      <c r="F24" s="9">
        <v>60467330</v>
      </c>
    </row>
    <row r="25" spans="1:6" ht="15.75" thickBot="1" x14ac:dyDescent="0.3">
      <c r="A25" s="2" t="s">
        <v>57</v>
      </c>
      <c r="B25" s="11">
        <v>0.13500000000000001</v>
      </c>
      <c r="C25" s="11">
        <v>0.13500000000000001</v>
      </c>
      <c r="D25" s="11">
        <v>0.13500000000000001</v>
      </c>
      <c r="E25" s="11">
        <v>0.13500000000000001</v>
      </c>
      <c r="F25" s="11">
        <v>0.13500000000000001</v>
      </c>
    </row>
    <row r="26" spans="1:6" ht="15.75" thickBot="1" x14ac:dyDescent="0.3">
      <c r="A26" s="2" t="s">
        <v>58</v>
      </c>
      <c r="B26" s="9">
        <v>41300000</v>
      </c>
      <c r="C26" s="9">
        <v>45430000</v>
      </c>
      <c r="D26" s="9">
        <v>49973000</v>
      </c>
      <c r="E26" s="9">
        <v>54970300</v>
      </c>
      <c r="F26" s="9">
        <v>60467330</v>
      </c>
    </row>
    <row r="27" spans="1:6" ht="29.25" thickBot="1" x14ac:dyDescent="0.3">
      <c r="A27" s="2" t="s">
        <v>59</v>
      </c>
      <c r="B27" s="9">
        <v>2800000</v>
      </c>
      <c r="C27" s="9">
        <v>2800000</v>
      </c>
      <c r="D27" s="9">
        <v>2800000</v>
      </c>
      <c r="E27" s="9">
        <v>2800000</v>
      </c>
      <c r="F27" s="9">
        <v>2800000</v>
      </c>
    </row>
    <row r="28" spans="1:6" ht="15.75" thickBot="1" x14ac:dyDescent="0.3">
      <c r="A28" s="2" t="s">
        <v>60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 ht="15.75" thickBot="1" x14ac:dyDescent="0.3">
      <c r="A29" s="2" t="s">
        <v>61</v>
      </c>
      <c r="B29" s="9">
        <v>38500000</v>
      </c>
      <c r="C29" s="9">
        <v>42630000</v>
      </c>
      <c r="D29" s="9">
        <v>47173000</v>
      </c>
      <c r="E29" s="9">
        <v>52170300</v>
      </c>
      <c r="F29" s="9">
        <v>57667330</v>
      </c>
    </row>
    <row r="30" spans="1:6" ht="15.75" thickBot="1" x14ac:dyDescent="0.3">
      <c r="A30" s="2" t="s">
        <v>62</v>
      </c>
      <c r="B30" s="9">
        <v>11550000</v>
      </c>
      <c r="C30" s="9">
        <v>12789000</v>
      </c>
      <c r="D30" s="9">
        <v>14151900</v>
      </c>
      <c r="E30" s="9">
        <v>14151900</v>
      </c>
      <c r="F30" s="9">
        <v>17300199</v>
      </c>
    </row>
    <row r="31" spans="1:6" ht="15.75" thickBot="1" x14ac:dyDescent="0.3">
      <c r="A31" s="15" t="s">
        <v>63</v>
      </c>
      <c r="B31" s="17" t="s">
        <v>66</v>
      </c>
      <c r="C31" s="17" t="s">
        <v>67</v>
      </c>
      <c r="D31" s="17" t="s">
        <v>68</v>
      </c>
      <c r="E31" s="17" t="s">
        <v>69</v>
      </c>
      <c r="F31" s="17" t="s">
        <v>70</v>
      </c>
    </row>
    <row r="32" spans="1:6" ht="15.75" thickBot="1" x14ac:dyDescent="0.3">
      <c r="A32" s="2" t="s">
        <v>64</v>
      </c>
      <c r="B32" s="11">
        <v>8.7999999999999995E-2</v>
      </c>
      <c r="C32" s="11">
        <v>8.8999999999999996E-2</v>
      </c>
      <c r="D32" s="11">
        <v>8.8999999999999996E-2</v>
      </c>
      <c r="E32" s="11">
        <v>0.09</v>
      </c>
      <c r="F32" s="11">
        <v>0.09</v>
      </c>
    </row>
    <row r="33" spans="1:6" x14ac:dyDescent="0.25">
      <c r="A33" s="12"/>
      <c r="B33" s="13"/>
      <c r="C33" s="13"/>
      <c r="D33" s="13"/>
      <c r="E33" s="13"/>
      <c r="F33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D043-5C24-40B9-A12F-42ED58CA0B0A}">
  <dimension ref="A2:Q57"/>
  <sheetViews>
    <sheetView zoomScale="90" zoomScaleNormal="90" workbookViewId="0">
      <selection activeCell="H53" sqref="H53"/>
    </sheetView>
  </sheetViews>
  <sheetFormatPr defaultRowHeight="15" x14ac:dyDescent="0.25"/>
  <cols>
    <col min="1" max="1" width="24.85546875" customWidth="1"/>
    <col min="2" max="6" width="13.28515625" customWidth="1"/>
    <col min="12" max="12" width="24.85546875" customWidth="1"/>
    <col min="13" max="17" width="13.28515625" customWidth="1"/>
  </cols>
  <sheetData>
    <row r="2" spans="1:17" x14ac:dyDescent="0.25">
      <c r="A2" t="s">
        <v>76</v>
      </c>
    </row>
    <row r="4" spans="1:17" ht="15.75" thickBot="1" x14ac:dyDescent="0.3">
      <c r="A4" s="5" t="s">
        <v>77</v>
      </c>
      <c r="L4" s="5" t="s">
        <v>113</v>
      </c>
    </row>
    <row r="5" spans="1:17" s="70" customFormat="1" ht="15.75" thickBot="1" x14ac:dyDescent="0.3">
      <c r="A5" s="86" t="s">
        <v>78</v>
      </c>
      <c r="B5" s="87"/>
      <c r="C5" s="87"/>
      <c r="D5" s="87"/>
      <c r="E5" s="87"/>
      <c r="F5" s="88"/>
      <c r="L5" s="86" t="s">
        <v>78</v>
      </c>
      <c r="M5" s="87"/>
      <c r="N5" s="87"/>
      <c r="O5" s="87"/>
      <c r="P5" s="87"/>
      <c r="Q5" s="88"/>
    </row>
    <row r="6" spans="1:17" s="70" customFormat="1" ht="15.75" customHeight="1" thickBot="1" x14ac:dyDescent="0.3">
      <c r="A6" s="89"/>
      <c r="B6" s="90" t="s">
        <v>46</v>
      </c>
      <c r="C6" s="90" t="s">
        <v>47</v>
      </c>
      <c r="D6" s="90" t="s">
        <v>48</v>
      </c>
      <c r="E6" s="90" t="s">
        <v>49</v>
      </c>
      <c r="F6" s="90" t="s">
        <v>50</v>
      </c>
      <c r="L6" s="89"/>
      <c r="M6" s="90" t="s">
        <v>46</v>
      </c>
      <c r="N6" s="90" t="s">
        <v>47</v>
      </c>
      <c r="O6" s="90" t="s">
        <v>48</v>
      </c>
      <c r="P6" s="90" t="s">
        <v>72</v>
      </c>
      <c r="Q6" s="90" t="s">
        <v>50</v>
      </c>
    </row>
    <row r="7" spans="1:17" ht="15.75" thickBot="1" x14ac:dyDescent="0.3">
      <c r="A7" s="19" t="s">
        <v>79</v>
      </c>
      <c r="B7" s="3" t="s">
        <v>80</v>
      </c>
      <c r="C7" s="3" t="s">
        <v>81</v>
      </c>
      <c r="D7" s="3" t="s">
        <v>82</v>
      </c>
      <c r="E7" s="3" t="s">
        <v>83</v>
      </c>
      <c r="F7" s="3" t="s">
        <v>84</v>
      </c>
      <c r="L7" s="19" t="s">
        <v>79</v>
      </c>
      <c r="M7" s="18" t="s">
        <v>114</v>
      </c>
      <c r="N7" s="18" t="s">
        <v>115</v>
      </c>
      <c r="O7" s="18" t="s">
        <v>116</v>
      </c>
      <c r="P7" s="18" t="s">
        <v>117</v>
      </c>
      <c r="Q7" s="18" t="s">
        <v>118</v>
      </c>
    </row>
    <row r="8" spans="1:17" ht="15.75" thickBot="1" x14ac:dyDescent="0.3">
      <c r="A8" s="19" t="s">
        <v>1</v>
      </c>
      <c r="B8" s="3" t="s">
        <v>85</v>
      </c>
      <c r="C8" s="3" t="s">
        <v>86</v>
      </c>
      <c r="D8" s="20" t="s">
        <v>87</v>
      </c>
      <c r="E8" s="3" t="s">
        <v>88</v>
      </c>
      <c r="F8" s="3" t="s">
        <v>89</v>
      </c>
      <c r="L8" s="19" t="s">
        <v>119</v>
      </c>
      <c r="M8" s="18" t="s">
        <v>120</v>
      </c>
      <c r="N8" s="18" t="s">
        <v>121</v>
      </c>
      <c r="O8" s="18" t="s">
        <v>122</v>
      </c>
      <c r="P8" s="18" t="s">
        <v>123</v>
      </c>
      <c r="Q8" s="18" t="s">
        <v>124</v>
      </c>
    </row>
    <row r="9" spans="1:17" ht="15.75" thickBot="1" x14ac:dyDescent="0.3">
      <c r="A9" s="19" t="s">
        <v>45</v>
      </c>
      <c r="B9" s="10">
        <v>0.16669999999999999</v>
      </c>
      <c r="C9" s="10">
        <v>0.16669999999999999</v>
      </c>
      <c r="D9" s="10">
        <v>0.16669999999999999</v>
      </c>
      <c r="E9" s="10">
        <v>0.16669999999999999</v>
      </c>
      <c r="F9" s="10">
        <v>0.16669999999999999</v>
      </c>
      <c r="L9" s="19" t="s">
        <v>45</v>
      </c>
      <c r="M9" s="21">
        <v>0.16</v>
      </c>
      <c r="N9" s="21">
        <v>0.16</v>
      </c>
      <c r="O9" s="21">
        <v>0.16</v>
      </c>
      <c r="P9" s="21">
        <v>0.16</v>
      </c>
      <c r="Q9" s="21">
        <v>0.16</v>
      </c>
    </row>
    <row r="10" spans="1:17" ht="15.75" thickBot="1" x14ac:dyDescent="0.3">
      <c r="A10" s="19" t="s">
        <v>54</v>
      </c>
      <c r="B10" s="3" t="s">
        <v>90</v>
      </c>
      <c r="C10" s="3" t="s">
        <v>91</v>
      </c>
      <c r="D10" s="18" t="s">
        <v>92</v>
      </c>
      <c r="E10" s="3" t="s">
        <v>93</v>
      </c>
      <c r="F10" s="3" t="s">
        <v>94</v>
      </c>
      <c r="L10" s="19" t="s">
        <v>125</v>
      </c>
      <c r="M10" s="18" t="s">
        <v>126</v>
      </c>
      <c r="N10" s="18" t="s">
        <v>127</v>
      </c>
      <c r="O10" s="18" t="s">
        <v>128</v>
      </c>
      <c r="P10" s="18" t="s">
        <v>129</v>
      </c>
      <c r="Q10" s="18" t="s">
        <v>130</v>
      </c>
    </row>
    <row r="11" spans="1:17" ht="15.75" thickBot="1" x14ac:dyDescent="0.3">
      <c r="A11" s="19" t="s">
        <v>56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  <c r="L11" s="19" t="s">
        <v>56</v>
      </c>
      <c r="M11" s="18" t="s">
        <v>131</v>
      </c>
      <c r="N11" s="18" t="s">
        <v>132</v>
      </c>
      <c r="O11" s="18" t="s">
        <v>133</v>
      </c>
      <c r="P11" s="18" t="s">
        <v>134</v>
      </c>
      <c r="Q11" s="18" t="s">
        <v>135</v>
      </c>
    </row>
    <row r="12" spans="1:17" ht="15.75" thickBot="1" x14ac:dyDescent="0.3">
      <c r="A12" s="19" t="s">
        <v>57</v>
      </c>
      <c r="B12" s="10">
        <v>0.13500000000000001</v>
      </c>
      <c r="C12" s="10">
        <v>0.13500000000000001</v>
      </c>
      <c r="D12" s="10">
        <v>0.13500000000000001</v>
      </c>
      <c r="E12" s="10">
        <v>0.13500000000000001</v>
      </c>
      <c r="F12" s="10">
        <v>0.13500000000000001</v>
      </c>
      <c r="L12" s="19" t="s">
        <v>57</v>
      </c>
      <c r="M12" s="10">
        <v>0.1231</v>
      </c>
      <c r="N12" s="10">
        <v>0.1231</v>
      </c>
      <c r="O12" s="10">
        <v>0.1231</v>
      </c>
      <c r="P12" s="10">
        <v>0.1231</v>
      </c>
      <c r="Q12" s="10">
        <v>0.1231</v>
      </c>
    </row>
    <row r="13" spans="1:17" ht="15.75" thickBot="1" x14ac:dyDescent="0.3">
      <c r="A13" s="19" t="s">
        <v>58</v>
      </c>
      <c r="B13" s="3" t="s">
        <v>95</v>
      </c>
      <c r="C13" s="3" t="s">
        <v>96</v>
      </c>
      <c r="D13" s="3" t="s">
        <v>100</v>
      </c>
      <c r="E13" s="3" t="s">
        <v>98</v>
      </c>
      <c r="F13" s="3" t="s">
        <v>99</v>
      </c>
      <c r="L13" s="19" t="s">
        <v>58</v>
      </c>
      <c r="M13" s="18" t="s">
        <v>131</v>
      </c>
      <c r="N13" s="18" t="s">
        <v>132</v>
      </c>
      <c r="O13" s="18" t="s">
        <v>133</v>
      </c>
      <c r="P13" s="18" t="s">
        <v>134</v>
      </c>
      <c r="Q13" s="18" t="s">
        <v>135</v>
      </c>
    </row>
    <row r="14" spans="1:17" ht="15.75" thickBot="1" x14ac:dyDescent="0.3">
      <c r="A14" s="19" t="s">
        <v>101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L14" s="19" t="s">
        <v>101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</row>
    <row r="15" spans="1:17" s="70" customFormat="1" ht="15.75" thickBot="1" x14ac:dyDescent="0.3">
      <c r="A15" s="91" t="s">
        <v>102</v>
      </c>
      <c r="B15" s="92" t="s">
        <v>103</v>
      </c>
      <c r="C15" s="92" t="s">
        <v>104</v>
      </c>
      <c r="D15" s="92" t="s">
        <v>105</v>
      </c>
      <c r="E15" s="92" t="s">
        <v>105</v>
      </c>
      <c r="F15" s="92" t="s">
        <v>106</v>
      </c>
      <c r="L15" s="91" t="s">
        <v>136</v>
      </c>
      <c r="M15" s="90" t="s">
        <v>137</v>
      </c>
      <c r="N15" s="90" t="s">
        <v>138</v>
      </c>
      <c r="O15" s="90" t="s">
        <v>139</v>
      </c>
      <c r="P15" s="90" t="s">
        <v>140</v>
      </c>
      <c r="Q15" s="90" t="s">
        <v>141</v>
      </c>
    </row>
    <row r="16" spans="1:17" s="95" customFormat="1" ht="15.75" thickBot="1" x14ac:dyDescent="0.3">
      <c r="A16" s="93" t="s">
        <v>63</v>
      </c>
      <c r="B16" s="94" t="s">
        <v>107</v>
      </c>
      <c r="C16" s="94" t="s">
        <v>108</v>
      </c>
      <c r="D16" s="94" t="s">
        <v>109</v>
      </c>
      <c r="E16" s="94" t="s">
        <v>110</v>
      </c>
      <c r="F16" s="94" t="s">
        <v>111</v>
      </c>
      <c r="L16" s="93" t="s">
        <v>63</v>
      </c>
      <c r="M16" s="96" t="s">
        <v>142</v>
      </c>
      <c r="N16" s="96" t="s">
        <v>143</v>
      </c>
      <c r="O16" s="96" t="s">
        <v>144</v>
      </c>
      <c r="P16" s="96" t="s">
        <v>145</v>
      </c>
      <c r="Q16" s="96" t="s">
        <v>146</v>
      </c>
    </row>
    <row r="17" spans="1:17" ht="15.75" thickBot="1" x14ac:dyDescent="0.3">
      <c r="A17" s="19" t="s">
        <v>112</v>
      </c>
      <c r="B17" s="10">
        <v>8.7999999999999995E-2</v>
      </c>
      <c r="C17" s="10">
        <v>8.8999999999999996E-2</v>
      </c>
      <c r="D17" s="10">
        <v>8.8999999999999996E-2</v>
      </c>
      <c r="E17" s="10">
        <v>0.09</v>
      </c>
      <c r="F17" s="10">
        <v>0.09</v>
      </c>
      <c r="L17" s="19" t="s">
        <v>112</v>
      </c>
      <c r="M17" s="22">
        <v>8.5999999999999993E-2</v>
      </c>
      <c r="N17" s="22">
        <v>8.5999999999999993E-2</v>
      </c>
      <c r="O17" s="22">
        <v>8.5999999999999993E-2</v>
      </c>
      <c r="P17" s="22">
        <v>8.5999999999999993E-2</v>
      </c>
      <c r="Q17" s="22">
        <v>8.5999999999999993E-2</v>
      </c>
    </row>
    <row r="19" spans="1:17" x14ac:dyDescent="0.25">
      <c r="A19" t="s">
        <v>201</v>
      </c>
      <c r="B19" s="24" t="s">
        <v>79</v>
      </c>
      <c r="C19" s="24" t="s">
        <v>54</v>
      </c>
      <c r="D19" s="24" t="s">
        <v>63</v>
      </c>
      <c r="L19" t="s">
        <v>201</v>
      </c>
      <c r="M19" s="24" t="s">
        <v>79</v>
      </c>
      <c r="N19" s="24" t="s">
        <v>125</v>
      </c>
      <c r="O19" s="24" t="s">
        <v>63</v>
      </c>
    </row>
    <row r="20" spans="1:17" x14ac:dyDescent="0.25">
      <c r="A20" s="24" t="s">
        <v>46</v>
      </c>
      <c r="B20" s="25">
        <v>305760000</v>
      </c>
      <c r="C20" s="25">
        <v>9660000</v>
      </c>
      <c r="D20" s="25">
        <v>26950000</v>
      </c>
      <c r="L20" s="24" t="s">
        <v>46</v>
      </c>
      <c r="M20" s="27">
        <v>275184000</v>
      </c>
      <c r="N20" s="27">
        <v>10143000</v>
      </c>
      <c r="O20" s="27">
        <v>23720508</v>
      </c>
    </row>
    <row r="21" spans="1:17" x14ac:dyDescent="0.25">
      <c r="A21" s="24" t="s">
        <v>47</v>
      </c>
      <c r="B21" s="25">
        <v>336336000</v>
      </c>
      <c r="C21" s="25">
        <v>10626000</v>
      </c>
      <c r="D21" s="25">
        <v>29841000</v>
      </c>
      <c r="L21" s="24" t="s">
        <v>47</v>
      </c>
      <c r="M21" s="27">
        <v>302702400</v>
      </c>
      <c r="N21" s="27">
        <v>11157300</v>
      </c>
      <c r="O21" s="27">
        <v>26092559</v>
      </c>
    </row>
    <row r="22" spans="1:17" x14ac:dyDescent="0.25">
      <c r="A22" s="24" t="s">
        <v>48</v>
      </c>
      <c r="B22" s="25">
        <v>369969600</v>
      </c>
      <c r="C22" s="25">
        <v>11688600</v>
      </c>
      <c r="D22" s="25">
        <v>33021100</v>
      </c>
      <c r="L22" s="24" t="s">
        <v>48</v>
      </c>
      <c r="M22" s="27">
        <v>332972640</v>
      </c>
      <c r="N22" s="27">
        <v>12273030</v>
      </c>
      <c r="O22" s="27">
        <v>28701814</v>
      </c>
    </row>
    <row r="23" spans="1:17" x14ac:dyDescent="0.25">
      <c r="A23" s="24" t="s">
        <v>49</v>
      </c>
      <c r="B23" s="25">
        <v>406966560</v>
      </c>
      <c r="C23" s="25">
        <v>12857460</v>
      </c>
      <c r="D23" s="25">
        <v>36519210</v>
      </c>
      <c r="L23" s="24" t="s">
        <v>49</v>
      </c>
      <c r="M23" s="27">
        <v>366269904</v>
      </c>
      <c r="N23" s="27">
        <v>13500333</v>
      </c>
      <c r="O23" s="27">
        <v>31571996</v>
      </c>
    </row>
    <row r="24" spans="1:17" x14ac:dyDescent="0.25">
      <c r="A24" s="24" t="s">
        <v>50</v>
      </c>
      <c r="B24" s="25">
        <v>447663216</v>
      </c>
      <c r="C24" s="25">
        <v>14143206</v>
      </c>
      <c r="D24" s="25">
        <v>40367131</v>
      </c>
      <c r="L24" s="24" t="s">
        <v>50</v>
      </c>
      <c r="M24" s="27">
        <v>402896894</v>
      </c>
      <c r="N24" s="27">
        <v>14850366</v>
      </c>
      <c r="O24" s="27">
        <v>34729195</v>
      </c>
    </row>
    <row r="37" spans="1:17" ht="15.75" thickBot="1" x14ac:dyDescent="0.3">
      <c r="A37" s="23" t="s">
        <v>147</v>
      </c>
      <c r="L37" s="23" t="s">
        <v>174</v>
      </c>
    </row>
    <row r="38" spans="1:17" s="70" customFormat="1" ht="15.75" thickBot="1" x14ac:dyDescent="0.3">
      <c r="A38" s="86" t="s">
        <v>78</v>
      </c>
      <c r="B38" s="87"/>
      <c r="C38" s="87"/>
      <c r="D38" s="87"/>
      <c r="E38" s="87"/>
      <c r="F38" s="88"/>
      <c r="L38" s="86" t="s">
        <v>78</v>
      </c>
      <c r="M38" s="87"/>
      <c r="N38" s="87"/>
      <c r="O38" s="87"/>
      <c r="P38" s="87"/>
      <c r="Q38" s="88"/>
    </row>
    <row r="39" spans="1:17" s="70" customFormat="1" ht="15.75" customHeight="1" thickBot="1" x14ac:dyDescent="0.3">
      <c r="A39" s="89"/>
      <c r="B39" s="90" t="s">
        <v>46</v>
      </c>
      <c r="C39" s="90" t="s">
        <v>47</v>
      </c>
      <c r="D39" s="90" t="s">
        <v>48</v>
      </c>
      <c r="E39" s="90" t="s">
        <v>49</v>
      </c>
      <c r="F39" s="90" t="s">
        <v>50</v>
      </c>
      <c r="L39" s="89"/>
      <c r="M39" s="90" t="s">
        <v>46</v>
      </c>
      <c r="N39" s="90" t="s">
        <v>47</v>
      </c>
      <c r="O39" s="90" t="s">
        <v>48</v>
      </c>
      <c r="P39" s="90" t="s">
        <v>49</v>
      </c>
      <c r="Q39" s="90" t="s">
        <v>50</v>
      </c>
    </row>
    <row r="40" spans="1:17" ht="15.75" thickBot="1" x14ac:dyDescent="0.3">
      <c r="A40" s="19" t="s">
        <v>79</v>
      </c>
      <c r="B40" s="18" t="s">
        <v>148</v>
      </c>
      <c r="C40" s="18" t="s">
        <v>149</v>
      </c>
      <c r="D40" s="18" t="s">
        <v>150</v>
      </c>
      <c r="E40" s="18" t="s">
        <v>151</v>
      </c>
      <c r="F40" s="18" t="s">
        <v>152</v>
      </c>
      <c r="L40" s="19" t="s">
        <v>79</v>
      </c>
      <c r="M40" s="18" t="s">
        <v>175</v>
      </c>
      <c r="N40" s="18" t="s">
        <v>176</v>
      </c>
      <c r="O40" s="18" t="s">
        <v>177</v>
      </c>
      <c r="P40" s="18" t="s">
        <v>178</v>
      </c>
      <c r="Q40" s="18" t="s">
        <v>179</v>
      </c>
    </row>
    <row r="41" spans="1:17" ht="15.75" thickBot="1" x14ac:dyDescent="0.3">
      <c r="A41" s="19" t="s">
        <v>1</v>
      </c>
      <c r="B41" s="18" t="s">
        <v>153</v>
      </c>
      <c r="C41" s="18" t="s">
        <v>154</v>
      </c>
      <c r="D41" s="18" t="s">
        <v>155</v>
      </c>
      <c r="E41" s="18" t="s">
        <v>156</v>
      </c>
      <c r="F41" s="18" t="s">
        <v>157</v>
      </c>
      <c r="L41" s="19" t="s">
        <v>1</v>
      </c>
      <c r="M41" s="18" t="s">
        <v>180</v>
      </c>
      <c r="N41" s="18" t="s">
        <v>181</v>
      </c>
      <c r="O41" s="18" t="s">
        <v>182</v>
      </c>
      <c r="P41" s="18" t="s">
        <v>183</v>
      </c>
      <c r="Q41" s="18" t="s">
        <v>184</v>
      </c>
    </row>
    <row r="42" spans="1:17" ht="15.75" thickBot="1" x14ac:dyDescent="0.3">
      <c r="A42" s="19" t="s">
        <v>45</v>
      </c>
      <c r="B42" s="21">
        <v>0.15</v>
      </c>
      <c r="C42" s="21">
        <v>0.15</v>
      </c>
      <c r="D42" s="21">
        <v>0.15</v>
      </c>
      <c r="E42" s="21">
        <v>0.15</v>
      </c>
      <c r="F42" s="21">
        <v>0.15</v>
      </c>
      <c r="L42" s="19" t="s">
        <v>45</v>
      </c>
      <c r="M42" s="21">
        <v>0.18</v>
      </c>
      <c r="N42" s="21">
        <v>0.18</v>
      </c>
      <c r="O42" s="21">
        <v>0.18</v>
      </c>
      <c r="P42" s="21">
        <v>0.18</v>
      </c>
      <c r="Q42" s="21">
        <v>0.18</v>
      </c>
    </row>
    <row r="43" spans="1:17" ht="15.75" thickBot="1" x14ac:dyDescent="0.3">
      <c r="A43" s="19" t="s">
        <v>54</v>
      </c>
      <c r="B43" s="18" t="s">
        <v>90</v>
      </c>
      <c r="C43" s="18" t="s">
        <v>91</v>
      </c>
      <c r="D43" s="18" t="s">
        <v>158</v>
      </c>
      <c r="E43" s="18" t="s">
        <v>93</v>
      </c>
      <c r="F43" s="18" t="s">
        <v>94</v>
      </c>
      <c r="L43" s="19" t="s">
        <v>54</v>
      </c>
      <c r="M43" s="18" t="s">
        <v>91</v>
      </c>
      <c r="N43" s="18" t="s">
        <v>158</v>
      </c>
      <c r="O43" s="18" t="s">
        <v>93</v>
      </c>
      <c r="P43" s="18" t="s">
        <v>94</v>
      </c>
      <c r="Q43" s="18" t="s">
        <v>185</v>
      </c>
    </row>
    <row r="44" spans="1:17" ht="15.75" thickBot="1" x14ac:dyDescent="0.3">
      <c r="A44" s="19" t="s">
        <v>56</v>
      </c>
      <c r="B44" s="18" t="s">
        <v>159</v>
      </c>
      <c r="C44" s="18" t="s">
        <v>160</v>
      </c>
      <c r="D44" s="18" t="s">
        <v>161</v>
      </c>
      <c r="E44" s="18" t="s">
        <v>162</v>
      </c>
      <c r="F44" s="18" t="s">
        <v>163</v>
      </c>
      <c r="L44" s="19" t="s">
        <v>56</v>
      </c>
      <c r="M44" s="18" t="s">
        <v>186</v>
      </c>
      <c r="N44" s="18" t="s">
        <v>187</v>
      </c>
      <c r="O44" s="18" t="s">
        <v>188</v>
      </c>
      <c r="P44" s="18" t="s">
        <v>189</v>
      </c>
      <c r="Q44" s="18" t="s">
        <v>190</v>
      </c>
    </row>
    <row r="45" spans="1:17" ht="15.75" thickBot="1" x14ac:dyDescent="0.3">
      <c r="A45" s="19" t="s">
        <v>57</v>
      </c>
      <c r="B45" s="10">
        <v>0.1105</v>
      </c>
      <c r="C45" s="10">
        <v>0.1105</v>
      </c>
      <c r="D45" s="10">
        <v>0.1105</v>
      </c>
      <c r="E45" s="10">
        <v>0.1105</v>
      </c>
      <c r="F45" s="10">
        <v>0.1105</v>
      </c>
      <c r="L45" s="19" t="s">
        <v>57</v>
      </c>
      <c r="M45" s="10">
        <v>0.151</v>
      </c>
      <c r="N45" s="10">
        <v>0.151</v>
      </c>
      <c r="O45" s="10">
        <v>0.151</v>
      </c>
      <c r="P45" s="10">
        <v>0.151</v>
      </c>
      <c r="Q45" s="10">
        <v>0.151</v>
      </c>
    </row>
    <row r="46" spans="1:17" ht="15.75" thickBot="1" x14ac:dyDescent="0.3">
      <c r="A46" s="19" t="s">
        <v>58</v>
      </c>
      <c r="B46" s="18" t="s">
        <v>159</v>
      </c>
      <c r="C46" s="18" t="s">
        <v>160</v>
      </c>
      <c r="D46" s="18" t="s">
        <v>161</v>
      </c>
      <c r="E46" s="18" t="s">
        <v>162</v>
      </c>
      <c r="F46" s="18" t="s">
        <v>163</v>
      </c>
      <c r="L46" s="19" t="s">
        <v>58</v>
      </c>
      <c r="M46" s="18" t="s">
        <v>186</v>
      </c>
      <c r="N46" s="18" t="s">
        <v>187</v>
      </c>
      <c r="O46" s="18" t="s">
        <v>188</v>
      </c>
      <c r="P46" s="18" t="s">
        <v>189</v>
      </c>
      <c r="Q46" s="18" t="s">
        <v>190</v>
      </c>
    </row>
    <row r="47" spans="1:17" ht="15.75" thickBot="1" x14ac:dyDescent="0.3">
      <c r="A47" s="19" t="s">
        <v>101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L47" s="19" t="s">
        <v>101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1:17" s="70" customFormat="1" ht="15.75" thickBot="1" x14ac:dyDescent="0.3">
      <c r="A48" s="91" t="s">
        <v>136</v>
      </c>
      <c r="B48" s="90" t="s">
        <v>164</v>
      </c>
      <c r="C48" s="90" t="s">
        <v>165</v>
      </c>
      <c r="D48" s="90" t="s">
        <v>166</v>
      </c>
      <c r="E48" s="90" t="s">
        <v>167</v>
      </c>
      <c r="F48" s="90" t="s">
        <v>168</v>
      </c>
      <c r="L48" s="91" t="s">
        <v>136</v>
      </c>
      <c r="M48" s="90" t="s">
        <v>191</v>
      </c>
      <c r="N48" s="90" t="s">
        <v>192</v>
      </c>
      <c r="O48" s="90" t="s">
        <v>193</v>
      </c>
      <c r="P48" s="90" t="s">
        <v>194</v>
      </c>
      <c r="Q48" s="90" t="s">
        <v>195</v>
      </c>
    </row>
    <row r="49" spans="1:17" s="95" customFormat="1" ht="15.75" thickBot="1" x14ac:dyDescent="0.3">
      <c r="A49" s="93" t="s">
        <v>63</v>
      </c>
      <c r="B49" s="96" t="s">
        <v>169</v>
      </c>
      <c r="C49" s="96" t="s">
        <v>170</v>
      </c>
      <c r="D49" s="96" t="s">
        <v>171</v>
      </c>
      <c r="E49" s="96" t="s">
        <v>172</v>
      </c>
      <c r="F49" s="96" t="s">
        <v>173</v>
      </c>
      <c r="L49" s="93" t="s">
        <v>63</v>
      </c>
      <c r="M49" s="96" t="s">
        <v>196</v>
      </c>
      <c r="N49" s="96" t="s">
        <v>197</v>
      </c>
      <c r="O49" s="96" t="s">
        <v>198</v>
      </c>
      <c r="P49" s="96" t="s">
        <v>199</v>
      </c>
      <c r="Q49" s="96" t="s">
        <v>200</v>
      </c>
    </row>
    <row r="50" spans="1:17" ht="15.75" thickBot="1" x14ac:dyDescent="0.3">
      <c r="A50" s="19" t="s">
        <v>112</v>
      </c>
      <c r="B50" s="22">
        <v>7.6999999999999999E-2</v>
      </c>
      <c r="C50" s="22">
        <v>7.6999999999999999E-2</v>
      </c>
      <c r="D50" s="22">
        <v>7.6999999999999999E-2</v>
      </c>
      <c r="E50" s="22">
        <v>7.6999999999999999E-2</v>
      </c>
      <c r="F50" s="22">
        <v>7.6999999999999999E-2</v>
      </c>
      <c r="L50" s="19" t="s">
        <v>112</v>
      </c>
      <c r="M50" s="22">
        <v>0.106</v>
      </c>
      <c r="N50" s="22">
        <v>0.106</v>
      </c>
      <c r="O50" s="22">
        <v>0.106</v>
      </c>
      <c r="P50" s="22">
        <v>0.106</v>
      </c>
      <c r="Q50" s="22">
        <v>0.106</v>
      </c>
    </row>
    <row r="52" spans="1:17" x14ac:dyDescent="0.25">
      <c r="A52" t="s">
        <v>201</v>
      </c>
      <c r="B52" s="24" t="s">
        <v>79</v>
      </c>
      <c r="C52" s="24" t="s">
        <v>54</v>
      </c>
      <c r="D52" s="24" t="s">
        <v>63</v>
      </c>
      <c r="L52" t="s">
        <v>201</v>
      </c>
      <c r="M52" s="24" t="s">
        <v>79</v>
      </c>
      <c r="N52" s="24" t="s">
        <v>54</v>
      </c>
      <c r="O52" s="24" t="s">
        <v>63</v>
      </c>
    </row>
    <row r="53" spans="1:17" x14ac:dyDescent="0.25">
      <c r="A53" s="24" t="s">
        <v>46</v>
      </c>
      <c r="B53" s="27">
        <v>244608000</v>
      </c>
      <c r="C53" s="27">
        <v>9660000</v>
      </c>
      <c r="D53" s="27">
        <v>18921840</v>
      </c>
      <c r="L53" s="24" t="s">
        <v>46</v>
      </c>
      <c r="M53" s="27">
        <v>366912000</v>
      </c>
      <c r="N53" s="27">
        <v>10626000</v>
      </c>
      <c r="O53" s="27">
        <v>38792712</v>
      </c>
    </row>
    <row r="54" spans="1:17" x14ac:dyDescent="0.25">
      <c r="A54" s="24" t="s">
        <v>47</v>
      </c>
      <c r="B54" s="27">
        <v>269068800</v>
      </c>
      <c r="C54" s="27">
        <v>10626000</v>
      </c>
      <c r="D54" s="27">
        <v>20814024</v>
      </c>
      <c r="L54" s="24" t="s">
        <v>47</v>
      </c>
      <c r="M54" s="27">
        <v>403603200</v>
      </c>
      <c r="N54" s="27">
        <v>11688600</v>
      </c>
      <c r="O54" s="27">
        <v>42671983</v>
      </c>
    </row>
    <row r="55" spans="1:17" x14ac:dyDescent="0.25">
      <c r="A55" s="24" t="s">
        <v>48</v>
      </c>
      <c r="B55" s="27">
        <v>295975680</v>
      </c>
      <c r="C55" s="27">
        <v>11688600</v>
      </c>
      <c r="D55" s="27">
        <v>22895426</v>
      </c>
      <c r="L55" s="24" t="s">
        <v>48</v>
      </c>
      <c r="M55" s="27">
        <v>443963520</v>
      </c>
      <c r="N55" s="27">
        <v>12857460</v>
      </c>
      <c r="O55" s="27">
        <v>46939182</v>
      </c>
    </row>
    <row r="56" spans="1:17" x14ac:dyDescent="0.25">
      <c r="A56" s="24" t="s">
        <v>49</v>
      </c>
      <c r="B56" s="27">
        <v>325573248</v>
      </c>
      <c r="C56" s="27">
        <v>12857460</v>
      </c>
      <c r="D56" s="27">
        <v>25184969</v>
      </c>
      <c r="L56" s="24" t="s">
        <v>49</v>
      </c>
      <c r="M56" s="27">
        <v>488359872</v>
      </c>
      <c r="N56" s="27">
        <v>14143206</v>
      </c>
      <c r="O56" s="27">
        <v>51633100</v>
      </c>
    </row>
    <row r="57" spans="1:17" x14ac:dyDescent="0.25">
      <c r="A57" s="24" t="s">
        <v>50</v>
      </c>
      <c r="B57" s="27">
        <v>358130573</v>
      </c>
      <c r="C57" s="27">
        <v>14143206</v>
      </c>
      <c r="D57" s="27">
        <v>27703466</v>
      </c>
      <c r="L57" s="24" t="s">
        <v>50</v>
      </c>
      <c r="M57" s="27">
        <v>537195859</v>
      </c>
      <c r="N57" s="27">
        <v>15557527</v>
      </c>
      <c r="O57" s="27">
        <v>56796410</v>
      </c>
    </row>
  </sheetData>
  <mergeCells count="4">
    <mergeCell ref="A38:F38"/>
    <mergeCell ref="L38:Q38"/>
    <mergeCell ref="A5:F5"/>
    <mergeCell ref="L5:Q5"/>
  </mergeCells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71C1-EF72-4E77-B52B-5F2A5BF5DC21}">
  <dimension ref="A1:K13"/>
  <sheetViews>
    <sheetView topLeftCell="E1" workbookViewId="0">
      <selection activeCell="G12" sqref="G12"/>
    </sheetView>
  </sheetViews>
  <sheetFormatPr defaultRowHeight="15" x14ac:dyDescent="0.25"/>
  <cols>
    <col min="1" max="6" width="18.5703125" customWidth="1"/>
    <col min="9" max="11" width="18.5703125" customWidth="1"/>
  </cols>
  <sheetData>
    <row r="1" spans="1:11" ht="16.5" thickBot="1" x14ac:dyDescent="0.3">
      <c r="A1" s="28"/>
      <c r="B1" s="31" t="s">
        <v>46</v>
      </c>
      <c r="C1" s="31" t="s">
        <v>47</v>
      </c>
      <c r="D1" s="31" t="s">
        <v>48</v>
      </c>
      <c r="E1" s="31" t="s">
        <v>49</v>
      </c>
      <c r="F1" s="31" t="s">
        <v>50</v>
      </c>
      <c r="I1" s="42" t="s">
        <v>234</v>
      </c>
      <c r="J1" s="43"/>
      <c r="K1" s="44"/>
    </row>
    <row r="2" spans="1:11" ht="16.5" thickBot="1" x14ac:dyDescent="0.3">
      <c r="A2" s="32" t="s">
        <v>63</v>
      </c>
      <c r="B2" s="33" t="s">
        <v>208</v>
      </c>
      <c r="C2" s="33" t="s">
        <v>209</v>
      </c>
      <c r="D2" s="33" t="s">
        <v>210</v>
      </c>
      <c r="E2" s="33" t="s">
        <v>211</v>
      </c>
      <c r="F2" s="33" t="s">
        <v>212</v>
      </c>
      <c r="I2" s="1" t="s">
        <v>235</v>
      </c>
      <c r="J2" s="3" t="s">
        <v>236</v>
      </c>
      <c r="K2" s="3" t="s">
        <v>237</v>
      </c>
    </row>
    <row r="3" spans="1:11" ht="30.75" thickBot="1" x14ac:dyDescent="0.3">
      <c r="A3" s="32" t="s">
        <v>213</v>
      </c>
      <c r="B3" s="33" t="s">
        <v>15</v>
      </c>
      <c r="C3" s="33" t="s">
        <v>15</v>
      </c>
      <c r="D3" s="33" t="s">
        <v>15</v>
      </c>
      <c r="E3" s="33" t="s">
        <v>15</v>
      </c>
      <c r="F3" s="33" t="s">
        <v>15</v>
      </c>
      <c r="I3" s="1" t="s">
        <v>238</v>
      </c>
      <c r="J3" s="3" t="s">
        <v>15</v>
      </c>
      <c r="K3" s="3" t="s">
        <v>39</v>
      </c>
    </row>
    <row r="4" spans="1:11" ht="30.75" thickBot="1" x14ac:dyDescent="0.3">
      <c r="A4" s="32" t="s">
        <v>214</v>
      </c>
      <c r="B4" s="34">
        <v>0.97299999999999998</v>
      </c>
      <c r="C4" s="34">
        <v>1.077</v>
      </c>
      <c r="D4" s="34">
        <v>1.1910000000000001</v>
      </c>
      <c r="E4" s="34">
        <v>1.3180000000000001</v>
      </c>
      <c r="F4" s="34">
        <v>1.456</v>
      </c>
      <c r="I4" s="1" t="s">
        <v>239</v>
      </c>
      <c r="J4" s="26">
        <v>0.7</v>
      </c>
      <c r="K4" s="3" t="s">
        <v>240</v>
      </c>
    </row>
    <row r="5" spans="1:11" ht="30.75" thickBot="1" x14ac:dyDescent="0.3">
      <c r="A5" s="32" t="s">
        <v>215</v>
      </c>
      <c r="B5" s="33" t="s">
        <v>208</v>
      </c>
      <c r="C5" s="33" t="s">
        <v>216</v>
      </c>
      <c r="D5" s="33" t="s">
        <v>217</v>
      </c>
      <c r="E5" s="33" t="s">
        <v>218</v>
      </c>
      <c r="F5" s="33" t="s">
        <v>219</v>
      </c>
      <c r="I5" s="1" t="s">
        <v>241</v>
      </c>
      <c r="J5" s="26">
        <v>0.3</v>
      </c>
      <c r="K5" s="3" t="s">
        <v>242</v>
      </c>
    </row>
    <row r="6" spans="1:11" ht="30.75" thickBot="1" x14ac:dyDescent="0.3">
      <c r="A6" s="32" t="s">
        <v>220</v>
      </c>
      <c r="B6" s="35">
        <v>0.97299999999999998</v>
      </c>
      <c r="C6" s="35">
        <v>2.0489999999999999</v>
      </c>
      <c r="D6" s="35">
        <v>3.2410000000000001</v>
      </c>
      <c r="E6" s="35">
        <v>4.5579999999999998</v>
      </c>
      <c r="F6" s="35">
        <v>6.0149999999999997</v>
      </c>
      <c r="I6" s="1" t="s">
        <v>243</v>
      </c>
      <c r="J6" s="26">
        <v>0.1</v>
      </c>
      <c r="K6" s="3" t="s">
        <v>244</v>
      </c>
    </row>
    <row r="7" spans="1:11" ht="15.75" thickBot="1" x14ac:dyDescent="0.3">
      <c r="I7" s="1" t="s">
        <v>245</v>
      </c>
      <c r="J7" s="26">
        <v>0.3</v>
      </c>
      <c r="K7" s="3" t="s">
        <v>246</v>
      </c>
    </row>
    <row r="8" spans="1:11" ht="15.75" thickBot="1" x14ac:dyDescent="0.3">
      <c r="A8" s="41" t="s">
        <v>221</v>
      </c>
      <c r="B8" s="36"/>
      <c r="C8" s="36"/>
      <c r="D8" s="36"/>
      <c r="E8" s="36"/>
      <c r="F8" s="37"/>
      <c r="I8" s="1" t="s">
        <v>247</v>
      </c>
      <c r="J8" s="3" t="s">
        <v>248</v>
      </c>
      <c r="K8" s="3" t="s">
        <v>249</v>
      </c>
    </row>
    <row r="9" spans="1:11" ht="15.75" thickBot="1" x14ac:dyDescent="0.3">
      <c r="A9" s="38"/>
      <c r="B9" s="39"/>
      <c r="C9" s="39"/>
      <c r="D9" s="39"/>
      <c r="E9" s="39"/>
      <c r="F9" s="40"/>
    </row>
    <row r="10" spans="1:11" ht="15.75" thickBot="1" x14ac:dyDescent="0.3">
      <c r="A10" s="1"/>
      <c r="B10" s="3" t="s">
        <v>46</v>
      </c>
      <c r="C10" s="3" t="s">
        <v>47</v>
      </c>
      <c r="D10" s="3" t="s">
        <v>73</v>
      </c>
      <c r="E10" s="3" t="s">
        <v>49</v>
      </c>
      <c r="F10" s="3" t="s">
        <v>50</v>
      </c>
    </row>
    <row r="11" spans="1:11" ht="15.75" thickBot="1" x14ac:dyDescent="0.3">
      <c r="A11" s="1" t="s">
        <v>63</v>
      </c>
      <c r="B11" s="3" t="s">
        <v>208</v>
      </c>
      <c r="C11" s="3" t="s">
        <v>209</v>
      </c>
      <c r="D11" s="3" t="s">
        <v>210</v>
      </c>
      <c r="E11" s="3" t="s">
        <v>211</v>
      </c>
      <c r="F11" s="3" t="s">
        <v>212</v>
      </c>
    </row>
    <row r="12" spans="1:11" ht="30.75" thickBot="1" x14ac:dyDescent="0.3">
      <c r="A12" s="1" t="s">
        <v>222</v>
      </c>
      <c r="B12" s="3" t="s">
        <v>223</v>
      </c>
      <c r="C12" s="3" t="s">
        <v>224</v>
      </c>
      <c r="D12" s="3" t="s">
        <v>225</v>
      </c>
      <c r="E12" s="3" t="s">
        <v>226</v>
      </c>
      <c r="F12" s="3" t="s">
        <v>227</v>
      </c>
    </row>
    <row r="13" spans="1:11" ht="30.75" thickBot="1" x14ac:dyDescent="0.3">
      <c r="A13" s="1" t="s">
        <v>228</v>
      </c>
      <c r="B13" s="3" t="s">
        <v>229</v>
      </c>
      <c r="C13" s="3" t="s">
        <v>230</v>
      </c>
      <c r="D13" s="3" t="s">
        <v>231</v>
      </c>
      <c r="E13" s="3" t="s">
        <v>232</v>
      </c>
      <c r="F13" s="3" t="s">
        <v>233</v>
      </c>
    </row>
  </sheetData>
  <mergeCells count="2">
    <mergeCell ref="A8:F9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367F-AA76-4DE9-8B83-FF2E3250E699}">
  <dimension ref="A1:M22"/>
  <sheetViews>
    <sheetView topLeftCell="F1" zoomScale="70" zoomScaleNormal="70" workbookViewId="0">
      <selection activeCell="B7" sqref="B7"/>
    </sheetView>
  </sheetViews>
  <sheetFormatPr defaultRowHeight="15" x14ac:dyDescent="0.25"/>
  <cols>
    <col min="1" max="1" width="32.5703125" customWidth="1"/>
    <col min="2" max="6" width="14" customWidth="1"/>
  </cols>
  <sheetData>
    <row r="1" spans="1:13" s="70" customFormat="1" ht="29.25" thickBot="1" x14ac:dyDescent="0.5">
      <c r="A1" s="85" t="s">
        <v>250</v>
      </c>
    </row>
    <row r="2" spans="1:13" s="70" customFormat="1" ht="15.75" thickBot="1" x14ac:dyDescent="0.3">
      <c r="A2" s="64" t="s">
        <v>261</v>
      </c>
      <c r="B2" s="68"/>
      <c r="C2" s="68"/>
      <c r="D2" s="68"/>
      <c r="E2" s="68"/>
      <c r="F2" s="69"/>
    </row>
    <row r="3" spans="1:13" s="84" customFormat="1" ht="19.5" thickBot="1" x14ac:dyDescent="0.35">
      <c r="A3" s="82"/>
      <c r="B3" s="83" t="s">
        <v>251</v>
      </c>
      <c r="C3" s="83" t="s">
        <v>252</v>
      </c>
      <c r="D3" s="83" t="s">
        <v>253</v>
      </c>
      <c r="E3" s="83" t="s">
        <v>254</v>
      </c>
      <c r="F3" s="83" t="s">
        <v>255</v>
      </c>
    </row>
    <row r="4" spans="1:13" ht="15.75" thickBot="1" x14ac:dyDescent="0.3">
      <c r="A4" s="2" t="s">
        <v>256</v>
      </c>
      <c r="B4" s="9">
        <v>305760000</v>
      </c>
      <c r="C4" s="9">
        <v>336336000</v>
      </c>
      <c r="D4" s="9">
        <v>369969600</v>
      </c>
      <c r="E4" s="9">
        <v>406966560</v>
      </c>
      <c r="F4" s="9">
        <v>447663216</v>
      </c>
    </row>
    <row r="5" spans="1:13" ht="15.75" thickBot="1" x14ac:dyDescent="0.3">
      <c r="A5" s="2" t="s">
        <v>257</v>
      </c>
      <c r="B5" s="9">
        <v>305760000</v>
      </c>
      <c r="C5" s="9">
        <v>336336000</v>
      </c>
      <c r="D5" s="9">
        <v>369969600</v>
      </c>
      <c r="E5" s="9">
        <v>406966560</v>
      </c>
      <c r="F5" s="9">
        <v>447663216</v>
      </c>
      <c r="K5" s="53" t="s">
        <v>201</v>
      </c>
      <c r="L5" s="54" t="s">
        <v>267</v>
      </c>
      <c r="M5" s="54" t="s">
        <v>269</v>
      </c>
    </row>
    <row r="6" spans="1:13" ht="15.75" thickBot="1" x14ac:dyDescent="0.3">
      <c r="A6" s="2" t="s">
        <v>258</v>
      </c>
      <c r="B6" s="9">
        <v>28000000</v>
      </c>
      <c r="C6" s="4">
        <v>0</v>
      </c>
      <c r="D6" s="4">
        <v>0</v>
      </c>
      <c r="E6" s="4">
        <v>0</v>
      </c>
      <c r="F6" s="4">
        <v>0</v>
      </c>
      <c r="K6" s="54" t="s">
        <v>75</v>
      </c>
      <c r="L6" s="55">
        <v>30422000</v>
      </c>
      <c r="M6" s="56">
        <v>30422000</v>
      </c>
    </row>
    <row r="7" spans="1:13" ht="15.75" thickBot="1" x14ac:dyDescent="0.3">
      <c r="A7" s="2" t="s">
        <v>259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K7" s="54" t="s">
        <v>74</v>
      </c>
      <c r="L7" s="56">
        <v>33464200</v>
      </c>
      <c r="M7" s="56">
        <v>63886200</v>
      </c>
    </row>
    <row r="8" spans="1:13" ht="15.75" thickBot="1" x14ac:dyDescent="0.3">
      <c r="A8" s="2" t="s">
        <v>260</v>
      </c>
      <c r="B8" s="9">
        <v>333760000</v>
      </c>
      <c r="C8" s="9">
        <v>336336000</v>
      </c>
      <c r="D8" s="9">
        <v>369969600</v>
      </c>
      <c r="E8" s="9">
        <v>406966560</v>
      </c>
      <c r="F8" s="9">
        <v>447663216</v>
      </c>
      <c r="K8" s="54" t="s">
        <v>73</v>
      </c>
      <c r="L8" s="56">
        <v>36810600</v>
      </c>
      <c r="M8" s="56">
        <v>100696800</v>
      </c>
    </row>
    <row r="9" spans="1:13" ht="15.75" thickBot="1" x14ac:dyDescent="0.3">
      <c r="A9" s="45" t="s">
        <v>266</v>
      </c>
      <c r="B9" s="46"/>
      <c r="C9" s="46"/>
      <c r="D9" s="46"/>
      <c r="E9" s="46"/>
      <c r="F9" s="47"/>
      <c r="K9" s="54" t="s">
        <v>72</v>
      </c>
      <c r="L9" s="56">
        <v>40491660</v>
      </c>
      <c r="M9" s="56">
        <v>141188460</v>
      </c>
    </row>
    <row r="10" spans="1:13" ht="15.75" thickBot="1" x14ac:dyDescent="0.3">
      <c r="A10" s="2" t="s">
        <v>44</v>
      </c>
      <c r="B10" s="9">
        <v>254800000</v>
      </c>
      <c r="C10" s="9">
        <v>280280000</v>
      </c>
      <c r="D10" s="9">
        <v>308308000</v>
      </c>
      <c r="E10" s="9">
        <v>339138800</v>
      </c>
      <c r="F10" s="9">
        <v>373052680</v>
      </c>
      <c r="K10" s="54" t="s">
        <v>71</v>
      </c>
      <c r="L10" s="56">
        <v>44540826</v>
      </c>
      <c r="M10" s="56">
        <v>185729286</v>
      </c>
    </row>
    <row r="11" spans="1:13" x14ac:dyDescent="0.25">
      <c r="A11" s="48" t="s">
        <v>54</v>
      </c>
      <c r="B11" s="50">
        <v>8700000</v>
      </c>
      <c r="C11" s="50">
        <v>9570000</v>
      </c>
      <c r="D11" s="50">
        <v>10527000</v>
      </c>
      <c r="E11" s="50">
        <v>11579700</v>
      </c>
      <c r="F11" s="50">
        <v>12737670</v>
      </c>
    </row>
    <row r="12" spans="1:13" ht="15.75" thickBot="1" x14ac:dyDescent="0.3">
      <c r="A12" s="49"/>
      <c r="B12" s="51"/>
      <c r="C12" s="51"/>
      <c r="D12" s="51"/>
      <c r="E12" s="51"/>
      <c r="F12" s="51"/>
    </row>
    <row r="13" spans="1:13" ht="15.75" thickBot="1" x14ac:dyDescent="0.3">
      <c r="A13" s="2" t="s">
        <v>60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</row>
    <row r="14" spans="1:13" ht="15.75" thickBot="1" x14ac:dyDescent="0.3">
      <c r="A14" s="2" t="s">
        <v>136</v>
      </c>
      <c r="B14" s="9">
        <v>11838000</v>
      </c>
      <c r="C14" s="9">
        <v>13021800</v>
      </c>
      <c r="D14" s="9">
        <v>14324000</v>
      </c>
      <c r="E14" s="9">
        <v>15756400</v>
      </c>
      <c r="F14" s="9">
        <v>17332040</v>
      </c>
    </row>
    <row r="15" spans="1:13" ht="15.75" thickBot="1" x14ac:dyDescent="0.3">
      <c r="A15" s="2" t="s">
        <v>262</v>
      </c>
      <c r="B15" s="9">
        <v>275338000</v>
      </c>
      <c r="C15" s="9">
        <v>302871800</v>
      </c>
      <c r="D15" s="9">
        <v>333159000</v>
      </c>
      <c r="E15" s="9">
        <v>366474900</v>
      </c>
      <c r="F15" s="9">
        <v>403122390</v>
      </c>
    </row>
    <row r="16" spans="1:13" ht="15.75" thickBot="1" x14ac:dyDescent="0.3">
      <c r="A16" s="2" t="s">
        <v>263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 ht="15.75" thickBot="1" x14ac:dyDescent="0.3">
      <c r="A17" s="2" t="s">
        <v>264</v>
      </c>
      <c r="B17" s="9">
        <v>28000000</v>
      </c>
      <c r="C17" s="4">
        <v>0</v>
      </c>
      <c r="D17" s="4">
        <v>0</v>
      </c>
      <c r="E17" s="4">
        <v>0</v>
      </c>
      <c r="F17" s="4">
        <v>0</v>
      </c>
    </row>
    <row r="18" spans="1:6" ht="15.75" thickBot="1" x14ac:dyDescent="0.3">
      <c r="A18" s="2" t="s">
        <v>265</v>
      </c>
      <c r="B18" s="9">
        <v>303338000</v>
      </c>
      <c r="C18" s="9">
        <v>302871800</v>
      </c>
      <c r="D18" s="9">
        <v>333159000</v>
      </c>
      <c r="E18" s="9">
        <v>366474900</v>
      </c>
      <c r="F18" s="9">
        <v>403122390</v>
      </c>
    </row>
    <row r="19" spans="1:6" ht="15.75" thickBot="1" x14ac:dyDescent="0.3">
      <c r="A19" s="45" t="s">
        <v>342</v>
      </c>
      <c r="B19" s="46"/>
      <c r="C19" s="46"/>
      <c r="D19" s="46"/>
      <c r="E19" s="46"/>
      <c r="F19" s="47"/>
    </row>
    <row r="20" spans="1:6" ht="15.75" thickBot="1" x14ac:dyDescent="0.3">
      <c r="A20" s="2" t="s">
        <v>267</v>
      </c>
      <c r="B20" s="9">
        <v>30422000</v>
      </c>
      <c r="C20" s="9">
        <v>33464200</v>
      </c>
      <c r="D20" s="9">
        <v>36810600</v>
      </c>
      <c r="E20" s="9">
        <v>40491660</v>
      </c>
      <c r="F20" s="9">
        <v>44540826</v>
      </c>
    </row>
    <row r="21" spans="1:6" ht="15.75" thickBot="1" x14ac:dyDescent="0.3">
      <c r="A21" s="2" t="s">
        <v>268</v>
      </c>
      <c r="B21" s="4">
        <v>0</v>
      </c>
      <c r="C21" s="9">
        <v>30422000</v>
      </c>
      <c r="D21" s="9">
        <v>63886200</v>
      </c>
      <c r="E21" s="9">
        <v>100696800</v>
      </c>
      <c r="F21" s="9">
        <v>141188460</v>
      </c>
    </row>
    <row r="22" spans="1:6" ht="15.75" thickBot="1" x14ac:dyDescent="0.3">
      <c r="A22" s="2" t="s">
        <v>270</v>
      </c>
      <c r="B22" s="9">
        <v>30422000</v>
      </c>
      <c r="C22" s="9">
        <v>63886200</v>
      </c>
      <c r="D22" s="9">
        <v>100696800</v>
      </c>
      <c r="E22" s="9">
        <v>141188460</v>
      </c>
      <c r="F22" s="9">
        <v>185729286</v>
      </c>
    </row>
  </sheetData>
  <mergeCells count="9">
    <mergeCell ref="A19:F19"/>
    <mergeCell ref="A2:F2"/>
    <mergeCell ref="A9:F9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5CFB-DC10-489F-A11D-2EFCD7A5D071}">
  <dimension ref="A1:J19"/>
  <sheetViews>
    <sheetView topLeftCell="H1" workbookViewId="0">
      <selection activeCell="C1" sqref="C1"/>
    </sheetView>
  </sheetViews>
  <sheetFormatPr defaultRowHeight="15" x14ac:dyDescent="0.25"/>
  <cols>
    <col min="1" max="1" width="27.85546875" customWidth="1"/>
    <col min="2" max="6" width="16.28515625" customWidth="1"/>
  </cols>
  <sheetData>
    <row r="1" spans="1:10" s="70" customFormat="1" ht="27" thickBot="1" x14ac:dyDescent="0.45">
      <c r="A1" s="79" t="s">
        <v>341</v>
      </c>
    </row>
    <row r="2" spans="1:10" s="70" customFormat="1" ht="15.75" thickBot="1" x14ac:dyDescent="0.3">
      <c r="A2" s="64" t="s">
        <v>271</v>
      </c>
      <c r="B2" s="68"/>
      <c r="C2" s="68"/>
      <c r="D2" s="68"/>
      <c r="E2" s="68"/>
      <c r="F2" s="69"/>
    </row>
    <row r="3" spans="1:10" s="84" customFormat="1" ht="19.5" thickBot="1" x14ac:dyDescent="0.35">
      <c r="A3" s="82"/>
      <c r="B3" s="83" t="s">
        <v>46</v>
      </c>
      <c r="C3" s="83" t="s">
        <v>47</v>
      </c>
      <c r="D3" s="83" t="s">
        <v>48</v>
      </c>
      <c r="E3" s="83" t="s">
        <v>49</v>
      </c>
      <c r="F3" s="83" t="s">
        <v>50</v>
      </c>
    </row>
    <row r="4" spans="1:10" ht="15.75" thickBot="1" x14ac:dyDescent="0.3">
      <c r="A4" s="2" t="s">
        <v>272</v>
      </c>
      <c r="B4" s="9">
        <v>30422000</v>
      </c>
      <c r="C4" s="9">
        <v>63886200</v>
      </c>
      <c r="D4" s="9">
        <v>100696800</v>
      </c>
      <c r="E4" s="9">
        <v>141188460</v>
      </c>
      <c r="F4" s="9">
        <v>185729286</v>
      </c>
    </row>
    <row r="5" spans="1:10" ht="15.75" thickBot="1" x14ac:dyDescent="0.3">
      <c r="A5" s="2" t="s">
        <v>8</v>
      </c>
      <c r="B5" s="9">
        <v>2100000</v>
      </c>
      <c r="C5" s="9">
        <v>2310000</v>
      </c>
      <c r="D5" s="9">
        <v>2541000</v>
      </c>
      <c r="E5" s="9">
        <v>2795100</v>
      </c>
      <c r="F5" s="9">
        <v>3074610</v>
      </c>
    </row>
    <row r="6" spans="1:10" ht="15.75" thickBot="1" x14ac:dyDescent="0.3">
      <c r="A6" s="2" t="s">
        <v>273</v>
      </c>
      <c r="B6" s="9">
        <v>32522000</v>
      </c>
      <c r="C6" s="9">
        <v>66196200</v>
      </c>
      <c r="D6" s="9">
        <v>103237800</v>
      </c>
      <c r="E6" s="9">
        <v>143983560</v>
      </c>
      <c r="F6" s="9">
        <v>188803896</v>
      </c>
    </row>
    <row r="7" spans="1:10" ht="15.75" thickBot="1" x14ac:dyDescent="0.3">
      <c r="I7" s="57" t="s">
        <v>201</v>
      </c>
      <c r="J7" s="58" t="s">
        <v>284</v>
      </c>
    </row>
    <row r="8" spans="1:10" ht="15.75" thickBot="1" x14ac:dyDescent="0.3">
      <c r="A8" s="7" t="s">
        <v>274</v>
      </c>
      <c r="B8" s="52">
        <v>28000000</v>
      </c>
      <c r="C8" s="52">
        <v>28000000</v>
      </c>
      <c r="D8" s="52">
        <v>28000000</v>
      </c>
      <c r="E8" s="52">
        <v>28000000</v>
      </c>
      <c r="F8" s="52">
        <v>28000000</v>
      </c>
      <c r="I8" s="58" t="s">
        <v>46</v>
      </c>
      <c r="J8" s="59">
        <v>44834000</v>
      </c>
    </row>
    <row r="9" spans="1:10" ht="15.75" thickBot="1" x14ac:dyDescent="0.3">
      <c r="A9" s="2" t="s">
        <v>275</v>
      </c>
      <c r="B9" s="9">
        <v>-2800000</v>
      </c>
      <c r="C9" s="9">
        <v>-5600000</v>
      </c>
      <c r="D9" s="9">
        <v>-8400000</v>
      </c>
      <c r="E9" s="9">
        <v>-11200000</v>
      </c>
      <c r="F9" s="9">
        <v>-14000000</v>
      </c>
      <c r="I9" s="58" t="s">
        <v>47</v>
      </c>
      <c r="J9" s="59">
        <v>74260200</v>
      </c>
    </row>
    <row r="10" spans="1:10" ht="15.75" thickBot="1" x14ac:dyDescent="0.3">
      <c r="A10" s="2" t="s">
        <v>276</v>
      </c>
      <c r="B10" s="9">
        <v>25200000</v>
      </c>
      <c r="C10" s="9">
        <v>22400000</v>
      </c>
      <c r="D10" s="9">
        <v>19600000</v>
      </c>
      <c r="E10" s="9">
        <v>16800000</v>
      </c>
      <c r="F10" s="9">
        <v>14000000</v>
      </c>
      <c r="I10" s="58" t="s">
        <v>48</v>
      </c>
      <c r="J10" s="60">
        <v>107243300</v>
      </c>
    </row>
    <row r="11" spans="1:10" ht="15.75" thickBot="1" x14ac:dyDescent="0.3">
      <c r="A11" s="2" t="s">
        <v>277</v>
      </c>
      <c r="B11" s="9">
        <v>57722000</v>
      </c>
      <c r="C11" s="9">
        <v>88596200</v>
      </c>
      <c r="D11" s="9">
        <v>122837800</v>
      </c>
      <c r="E11" s="9">
        <v>160783560</v>
      </c>
      <c r="F11" s="9">
        <v>202803896</v>
      </c>
      <c r="I11" s="58" t="s">
        <v>49</v>
      </c>
      <c r="J11" s="60">
        <v>143629610</v>
      </c>
    </row>
    <row r="12" spans="1:10" ht="15.75" thickBot="1" x14ac:dyDescent="0.3">
      <c r="I12" s="58" t="s">
        <v>50</v>
      </c>
      <c r="J12" s="60">
        <v>183934551</v>
      </c>
    </row>
    <row r="13" spans="1:10" ht="29.25" thickBot="1" x14ac:dyDescent="0.3">
      <c r="A13" s="7" t="s">
        <v>278</v>
      </c>
      <c r="B13" s="52">
        <v>1050000</v>
      </c>
      <c r="C13" s="52">
        <v>1155000</v>
      </c>
      <c r="D13" s="52">
        <v>1270500</v>
      </c>
      <c r="E13" s="52">
        <v>1397550</v>
      </c>
      <c r="F13" s="52">
        <v>1537305</v>
      </c>
    </row>
    <row r="14" spans="1:10" ht="15.75" thickBot="1" x14ac:dyDescent="0.3">
      <c r="A14" s="2" t="s">
        <v>279</v>
      </c>
      <c r="B14" s="9">
        <v>11838000</v>
      </c>
      <c r="C14" s="9">
        <v>13021800</v>
      </c>
      <c r="D14" s="9">
        <v>14324000</v>
      </c>
      <c r="E14" s="9">
        <v>15756400</v>
      </c>
      <c r="F14" s="9">
        <v>17332040</v>
      </c>
    </row>
    <row r="15" spans="1:10" ht="15.75" thickBot="1" x14ac:dyDescent="0.3">
      <c r="A15" s="2" t="s">
        <v>280</v>
      </c>
      <c r="B15" s="9">
        <v>12888000</v>
      </c>
      <c r="C15" s="9">
        <v>14176800</v>
      </c>
      <c r="D15" s="9">
        <v>15594500</v>
      </c>
      <c r="E15" s="9">
        <v>17153950</v>
      </c>
      <c r="F15" s="9">
        <v>18869345</v>
      </c>
    </row>
    <row r="16" spans="1:10" ht="15.75" thickBot="1" x14ac:dyDescent="0.3"/>
    <row r="17" spans="1:6" ht="15.75" thickBot="1" x14ac:dyDescent="0.3">
      <c r="A17" s="7" t="s">
        <v>281</v>
      </c>
      <c r="B17" s="52">
        <v>28000000</v>
      </c>
      <c r="C17" s="52">
        <v>28000000</v>
      </c>
      <c r="D17" s="52">
        <v>28000000</v>
      </c>
      <c r="E17" s="52">
        <v>28000000</v>
      </c>
      <c r="F17" s="52">
        <v>28000000</v>
      </c>
    </row>
    <row r="18" spans="1:6" ht="15.75" thickBot="1" x14ac:dyDescent="0.3">
      <c r="A18" s="2" t="s">
        <v>282</v>
      </c>
      <c r="B18" s="9">
        <v>16834000</v>
      </c>
      <c r="C18" s="9">
        <v>46260200</v>
      </c>
      <c r="D18" s="9">
        <v>79243300</v>
      </c>
      <c r="E18" s="9">
        <v>115629610</v>
      </c>
      <c r="F18" s="9">
        <v>155934551</v>
      </c>
    </row>
    <row r="19" spans="1:6" ht="15.75" thickBot="1" x14ac:dyDescent="0.3">
      <c r="A19" s="2" t="s">
        <v>283</v>
      </c>
      <c r="B19" s="9">
        <v>44834000</v>
      </c>
      <c r="C19" s="9">
        <v>74260200</v>
      </c>
      <c r="D19" s="9">
        <v>107243300</v>
      </c>
      <c r="E19" s="9">
        <v>143629610</v>
      </c>
      <c r="F19" s="9">
        <v>183934551</v>
      </c>
    </row>
  </sheetData>
  <mergeCells count="1">
    <mergeCell ref="A2:F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335D-9FFA-4856-965C-6BE14B8C1E49}">
  <dimension ref="A1:K9"/>
  <sheetViews>
    <sheetView tabSelected="1" topLeftCell="F1" zoomScale="70" zoomScaleNormal="70" workbookViewId="0">
      <selection activeCell="B9" sqref="B9"/>
    </sheetView>
  </sheetViews>
  <sheetFormatPr defaultRowHeight="15" x14ac:dyDescent="0.25"/>
  <cols>
    <col min="1" max="1" width="26.140625" customWidth="1"/>
    <col min="2" max="6" width="14" customWidth="1"/>
  </cols>
  <sheetData>
    <row r="1" spans="1:11" s="70" customFormat="1" ht="26.25" x14ac:dyDescent="0.4">
      <c r="A1" s="79" t="s">
        <v>299</v>
      </c>
    </row>
    <row r="2" spans="1:11" s="70" customFormat="1" ht="15.75" thickBot="1" x14ac:dyDescent="0.3"/>
    <row r="3" spans="1:11" s="75" customFormat="1" ht="16.5" thickBot="1" x14ac:dyDescent="0.3">
      <c r="A3" s="80"/>
      <c r="B3" s="81" t="s">
        <v>46</v>
      </c>
      <c r="C3" s="81" t="s">
        <v>47</v>
      </c>
      <c r="D3" s="81" t="s">
        <v>48</v>
      </c>
      <c r="E3" s="81" t="s">
        <v>49</v>
      </c>
      <c r="F3" s="81" t="s">
        <v>50</v>
      </c>
    </row>
    <row r="4" spans="1:11" ht="15.75" thickBot="1" x14ac:dyDescent="0.3">
      <c r="A4" s="2" t="s">
        <v>285</v>
      </c>
      <c r="B4" s="4" t="s">
        <v>286</v>
      </c>
      <c r="C4" s="4" t="s">
        <v>287</v>
      </c>
      <c r="D4" s="4" t="s">
        <v>288</v>
      </c>
      <c r="E4" s="4" t="s">
        <v>289</v>
      </c>
      <c r="F4" s="4" t="s">
        <v>290</v>
      </c>
      <c r="I4" s="61" t="s">
        <v>201</v>
      </c>
      <c r="J4" s="62" t="s">
        <v>300</v>
      </c>
      <c r="K4" s="62" t="s">
        <v>301</v>
      </c>
    </row>
    <row r="5" spans="1:11" ht="15.75" thickBot="1" x14ac:dyDescent="0.3">
      <c r="A5" s="2" t="s">
        <v>291</v>
      </c>
      <c r="B5" s="11">
        <v>0.83330000000000004</v>
      </c>
      <c r="C5" s="11">
        <v>0.83330000000000004</v>
      </c>
      <c r="D5" s="11">
        <v>0.83330000000000004</v>
      </c>
      <c r="E5" s="11">
        <v>0.83330000000000004</v>
      </c>
      <c r="F5" s="11">
        <v>0.83330000000000004</v>
      </c>
      <c r="I5" s="62" t="s">
        <v>46</v>
      </c>
      <c r="J5" s="63">
        <v>52200000</v>
      </c>
      <c r="K5" s="63">
        <v>305760000</v>
      </c>
    </row>
    <row r="6" spans="1:11" ht="15.75" thickBot="1" x14ac:dyDescent="0.3">
      <c r="A6" s="2" t="s">
        <v>45</v>
      </c>
      <c r="B6" s="11">
        <v>0.16669999999999999</v>
      </c>
      <c r="C6" s="11">
        <v>0.16669999999999999</v>
      </c>
      <c r="D6" s="11">
        <v>0.16669999999999999</v>
      </c>
      <c r="E6" s="11">
        <v>0.16669999999999999</v>
      </c>
      <c r="F6" s="11">
        <v>0.16669999999999999</v>
      </c>
      <c r="I6" s="62" t="s">
        <v>47</v>
      </c>
      <c r="J6" s="63">
        <v>57420000</v>
      </c>
      <c r="K6" s="63">
        <v>336336000</v>
      </c>
    </row>
    <row r="7" spans="1:11" ht="15.75" thickBot="1" x14ac:dyDescent="0.3">
      <c r="A7" s="2" t="s">
        <v>292</v>
      </c>
      <c r="B7" s="4" t="s">
        <v>293</v>
      </c>
      <c r="C7" s="4" t="s">
        <v>294</v>
      </c>
      <c r="D7" s="4" t="s">
        <v>295</v>
      </c>
      <c r="E7" s="4" t="s">
        <v>296</v>
      </c>
      <c r="F7" s="4" t="s">
        <v>297</v>
      </c>
      <c r="I7" s="62" t="s">
        <v>48</v>
      </c>
      <c r="J7" s="63">
        <v>63162000</v>
      </c>
      <c r="K7" s="63">
        <v>369969600</v>
      </c>
    </row>
    <row r="8" spans="1:11" ht="15.75" thickBot="1" x14ac:dyDescent="0.3">
      <c r="A8" s="2" t="s">
        <v>298</v>
      </c>
      <c r="B8" s="4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I8" s="62" t="s">
        <v>49</v>
      </c>
      <c r="J8" s="63">
        <v>69478200</v>
      </c>
      <c r="K8" s="63">
        <v>406966560</v>
      </c>
    </row>
    <row r="9" spans="1:11" x14ac:dyDescent="0.25">
      <c r="I9" s="62" t="s">
        <v>50</v>
      </c>
      <c r="J9" s="63">
        <v>76426020</v>
      </c>
      <c r="K9" s="63">
        <v>447663216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5410-D283-4798-A814-858185B2E17F}">
  <dimension ref="A1:M11"/>
  <sheetViews>
    <sheetView topLeftCell="D2" zoomScale="70" zoomScaleNormal="70" workbookViewId="0">
      <selection activeCell="B15" sqref="B15"/>
    </sheetView>
  </sheetViews>
  <sheetFormatPr defaultRowHeight="15" x14ac:dyDescent="0.25"/>
  <cols>
    <col min="1" max="1" width="25.42578125" customWidth="1"/>
    <col min="2" max="6" width="18.140625" customWidth="1"/>
  </cols>
  <sheetData>
    <row r="1" spans="1:13" s="70" customFormat="1" ht="27" thickBot="1" x14ac:dyDescent="0.3">
      <c r="A1" s="76" t="s">
        <v>302</v>
      </c>
      <c r="B1" s="77"/>
      <c r="C1" s="77"/>
      <c r="D1" s="77"/>
      <c r="E1" s="77"/>
      <c r="F1" s="78"/>
    </row>
    <row r="2" spans="1:13" s="75" customFormat="1" ht="16.5" thickBot="1" x14ac:dyDescent="0.3">
      <c r="A2" s="73"/>
      <c r="B2" s="74" t="s">
        <v>46</v>
      </c>
      <c r="C2" s="74" t="s">
        <v>47</v>
      </c>
      <c r="D2" s="74" t="s">
        <v>48</v>
      </c>
      <c r="E2" s="74" t="s">
        <v>49</v>
      </c>
      <c r="F2" s="74" t="s">
        <v>50</v>
      </c>
    </row>
    <row r="3" spans="1:13" ht="15.75" thickBot="1" x14ac:dyDescent="0.3">
      <c r="A3" s="2" t="s">
        <v>303</v>
      </c>
      <c r="B3" s="4" t="s">
        <v>304</v>
      </c>
      <c r="C3" s="4" t="s">
        <v>305</v>
      </c>
      <c r="D3" s="4" t="s">
        <v>306</v>
      </c>
      <c r="E3" s="4" t="s">
        <v>307</v>
      </c>
      <c r="F3" s="4" t="s">
        <v>308</v>
      </c>
    </row>
    <row r="4" spans="1:13" ht="15.75" thickBot="1" x14ac:dyDescent="0.3">
      <c r="A4" s="2" t="s">
        <v>328</v>
      </c>
      <c r="B4" s="4" t="s">
        <v>309</v>
      </c>
      <c r="C4" s="4" t="s">
        <v>310</v>
      </c>
      <c r="D4" s="4" t="s">
        <v>311</v>
      </c>
      <c r="E4" s="4" t="s">
        <v>312</v>
      </c>
      <c r="F4" s="4" t="s">
        <v>313</v>
      </c>
      <c r="I4" s="65" t="s">
        <v>201</v>
      </c>
      <c r="J4" s="66" t="s">
        <v>301</v>
      </c>
      <c r="K4" s="66" t="s">
        <v>328</v>
      </c>
      <c r="L4" s="66" t="s">
        <v>55</v>
      </c>
      <c r="M4" s="66" t="s">
        <v>327</v>
      </c>
    </row>
    <row r="5" spans="1:13" ht="15.75" thickBot="1" x14ac:dyDescent="0.3">
      <c r="A5" s="2" t="s">
        <v>329</v>
      </c>
      <c r="B5" s="4" t="s">
        <v>330</v>
      </c>
      <c r="C5" s="4" t="s">
        <v>331</v>
      </c>
      <c r="D5" s="4" t="s">
        <v>332</v>
      </c>
      <c r="E5" s="4" t="s">
        <v>333</v>
      </c>
      <c r="F5" s="4" t="s">
        <v>334</v>
      </c>
      <c r="I5" s="66" t="s">
        <v>46</v>
      </c>
      <c r="J5" s="67">
        <v>302400000</v>
      </c>
      <c r="K5" s="67">
        <v>252000000</v>
      </c>
      <c r="L5" s="67">
        <v>8700000</v>
      </c>
      <c r="M5" s="67">
        <v>27230000</v>
      </c>
    </row>
    <row r="6" spans="1:13" ht="15.75" thickBot="1" x14ac:dyDescent="0.3">
      <c r="A6" s="2" t="s">
        <v>335</v>
      </c>
      <c r="B6" s="4" t="s">
        <v>286</v>
      </c>
      <c r="C6" s="4" t="s">
        <v>287</v>
      </c>
      <c r="D6" s="4" t="s">
        <v>288</v>
      </c>
      <c r="E6" s="4" t="s">
        <v>289</v>
      </c>
      <c r="F6" s="4" t="s">
        <v>290</v>
      </c>
      <c r="I6" s="66" t="s">
        <v>47</v>
      </c>
      <c r="J6" s="67">
        <v>332640000</v>
      </c>
      <c r="K6" s="67">
        <v>277200000</v>
      </c>
      <c r="L6" s="67">
        <v>9570000</v>
      </c>
      <c r="M6" s="67">
        <v>30149000</v>
      </c>
    </row>
    <row r="7" spans="1:13" ht="15.75" thickBot="1" x14ac:dyDescent="0.3">
      <c r="A7" s="2" t="s">
        <v>58</v>
      </c>
      <c r="B7" s="4" t="s">
        <v>314</v>
      </c>
      <c r="C7" s="4" t="s">
        <v>315</v>
      </c>
      <c r="D7" s="4" t="s">
        <v>316</v>
      </c>
      <c r="E7" s="4" t="s">
        <v>317</v>
      </c>
      <c r="F7" s="4" t="s">
        <v>318</v>
      </c>
      <c r="I7" s="66" t="s">
        <v>48</v>
      </c>
      <c r="J7" s="67">
        <v>365904000</v>
      </c>
      <c r="K7" s="67">
        <v>304920000</v>
      </c>
      <c r="L7" s="67">
        <v>10527000</v>
      </c>
      <c r="M7" s="67">
        <v>33359900</v>
      </c>
    </row>
    <row r="8" spans="1:13" ht="15.75" thickBot="1" x14ac:dyDescent="0.3">
      <c r="A8" s="2" t="s">
        <v>319</v>
      </c>
      <c r="B8" s="4" t="s">
        <v>320</v>
      </c>
      <c r="C8" s="4" t="s">
        <v>320</v>
      </c>
      <c r="D8" s="4" t="s">
        <v>320</v>
      </c>
      <c r="E8" s="4" t="s">
        <v>320</v>
      </c>
      <c r="F8" s="4" t="s">
        <v>320</v>
      </c>
      <c r="I8" s="66" t="s">
        <v>49</v>
      </c>
      <c r="J8" s="67">
        <v>402494400</v>
      </c>
      <c r="K8" s="67">
        <v>335412000</v>
      </c>
      <c r="L8" s="67">
        <v>11579700</v>
      </c>
      <c r="M8" s="67">
        <v>36891890</v>
      </c>
    </row>
    <row r="9" spans="1:13" ht="15.75" thickBot="1" x14ac:dyDescent="0.3">
      <c r="A9" s="2" t="s">
        <v>61</v>
      </c>
      <c r="B9" s="4" t="s">
        <v>336</v>
      </c>
      <c r="C9" s="4" t="s">
        <v>337</v>
      </c>
      <c r="D9" s="4" t="s">
        <v>338</v>
      </c>
      <c r="E9" s="4" t="s">
        <v>339</v>
      </c>
      <c r="F9" s="4" t="s">
        <v>340</v>
      </c>
      <c r="I9" s="66" t="s">
        <v>50</v>
      </c>
      <c r="J9" s="67">
        <v>442743840</v>
      </c>
      <c r="K9" s="67">
        <v>368953200</v>
      </c>
      <c r="L9" s="67">
        <v>12737670</v>
      </c>
      <c r="M9" s="67">
        <v>40777079</v>
      </c>
    </row>
    <row r="10" spans="1:13" ht="15.75" thickBot="1" x14ac:dyDescent="0.3">
      <c r="A10" s="2" t="s">
        <v>321</v>
      </c>
      <c r="B10" s="4" t="s">
        <v>322</v>
      </c>
      <c r="C10" s="4" t="s">
        <v>323</v>
      </c>
      <c r="D10" s="4" t="s">
        <v>324</v>
      </c>
      <c r="E10" s="4" t="s">
        <v>325</v>
      </c>
      <c r="F10" s="4" t="s">
        <v>326</v>
      </c>
    </row>
    <row r="11" spans="1:13" ht="15.75" thickBot="1" x14ac:dyDescent="0.3">
      <c r="A11" s="2" t="s">
        <v>63</v>
      </c>
      <c r="B11" s="4" t="s">
        <v>208</v>
      </c>
      <c r="C11" s="4" t="s">
        <v>209</v>
      </c>
      <c r="D11" s="4" t="s">
        <v>210</v>
      </c>
      <c r="E11" s="4" t="s">
        <v>211</v>
      </c>
      <c r="F11" s="4" t="s">
        <v>212</v>
      </c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Startup Analysis</vt:lpstr>
      <vt:lpstr>Operating Cost</vt:lpstr>
      <vt:lpstr>Statement of income</vt:lpstr>
      <vt:lpstr>Sensitivity Analysis</vt:lpstr>
      <vt:lpstr>ROI</vt:lpstr>
      <vt:lpstr>CASH FLOW</vt:lpstr>
      <vt:lpstr>Balance Sheet</vt:lpstr>
      <vt:lpstr>Break Even Analysis</vt:lpstr>
      <vt:lpstr>Financial Overview</vt:lpstr>
      <vt:lpstr>'Financial Overview'!_Hlk226508043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2026-04-07T00:52:24Z</dcterms:created>
  <dcterms:modified xsi:type="dcterms:W3CDTF">2026-04-09T01:29:52Z</dcterms:modified>
</cp:coreProperties>
</file>