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ank Rental Business\"/>
    </mc:Choice>
  </mc:AlternateContent>
  <xr:revisionPtr revIDLastSave="0" documentId="13_ncr:1_{6B4AEC36-D998-44AC-969F-E49DC0106634}" xr6:coauthVersionLast="43" xr6:coauthVersionMax="43" xr10:uidLastSave="{00000000-0000-0000-0000-000000000000}"/>
  <bookViews>
    <workbookView xWindow="-120" yWindow="-120" windowWidth="20730" windowHeight="11160" activeTab="2" xr2:uid="{5756AA7C-7702-4E07-B8DC-735FA0548472}"/>
  </bookViews>
  <sheets>
    <sheet name="Start-up Cost" sheetId="1" r:id="rId1"/>
    <sheet name="Financial Overview" sheetId="2" r:id="rId2"/>
    <sheet name="PROFIT AND LOSS" sheetId="4" r:id="rId3"/>
    <sheet name="BALANCE SHEET " sheetId="5" r:id="rId4"/>
    <sheet name="CASH FLOW" sheetId="7" r:id="rId5"/>
    <sheet name="BREAK-EVEN ANALYSI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<sst xmlns="http://schemas.openxmlformats.org/spreadsheetml/2006/main" count="511" uniqueCount="379">
  <si>
    <t>Start-up Cost</t>
  </si>
  <si>
    <t>Category</t>
  </si>
  <si>
    <t>Unit Cost (CAD)</t>
  </si>
  <si>
    <t>Quantity</t>
  </si>
  <si>
    <t>Total Cost (CAD)</t>
  </si>
  <si>
    <t>Charging Kiosks</t>
  </si>
  <si>
    <t>$5,000</t>
  </si>
  <si>
    <t>$100,000</t>
  </si>
  <si>
    <t>Power Banks</t>
  </si>
  <si>
    <t>$30</t>
  </si>
  <si>
    <t>$18,000</t>
  </si>
  <si>
    <t>IoT + Tracking Modules</t>
  </si>
  <si>
    <t>$200</t>
  </si>
  <si>
    <t>$4,000</t>
  </si>
  <si>
    <t>Software Platform (App + Backend)</t>
  </si>
  <si>
    <t>$35,000</t>
  </si>
  <si>
    <t>Payment Integration System</t>
  </si>
  <si>
    <t>$3,000</t>
  </si>
  <si>
    <t>Branding &amp; UI Design</t>
  </si>
  <si>
    <t>Importation &amp; Logistics</t>
  </si>
  <si>
    <t>$12,000</t>
  </si>
  <si>
    <t>Installation Costs</t>
  </si>
  <si>
    <t>$300</t>
  </si>
  <si>
    <t>$6,000</t>
  </si>
  <si>
    <t>Insurance &amp; Licensing</t>
  </si>
  <si>
    <t>Total Initial Investment</t>
  </si>
  <si>
    <t>$188,000 CAD</t>
  </si>
  <si>
    <t>Financial Overview</t>
  </si>
  <si>
    <t>Year 1</t>
  </si>
  <si>
    <t>Year 2</t>
  </si>
  <si>
    <t>Year 3</t>
  </si>
  <si>
    <t>Year 4</t>
  </si>
  <si>
    <t>Year 5</t>
  </si>
  <si>
    <t>Revenue</t>
  </si>
  <si>
    <t>$1,080,000</t>
  </si>
  <si>
    <t>$2,400,000</t>
  </si>
  <si>
    <t>$5,400,000</t>
  </si>
  <si>
    <t>$10,800,000</t>
  </si>
  <si>
    <t>$21,120,000</t>
  </si>
  <si>
    <t>Variable Costs</t>
  </si>
  <si>
    <t>$324,000</t>
  </si>
  <si>
    <t>$720,000</t>
  </si>
  <si>
    <t>$,620,000</t>
  </si>
  <si>
    <t>$3,240,000</t>
  </si>
  <si>
    <t>$6,336,000</t>
  </si>
  <si>
    <t>Fixed Costs</t>
  </si>
  <si>
    <t>$505,000</t>
  </si>
  <si>
    <t>$870,000</t>
  </si>
  <si>
    <t>$1,570,000</t>
  </si>
  <si>
    <t>$2,850,000</t>
  </si>
  <si>
    <t>$4,700,000</t>
  </si>
  <si>
    <t>Total Costs</t>
  </si>
  <si>
    <t>$829,000</t>
  </si>
  <si>
    <t>$1,590,000</t>
  </si>
  <si>
    <t>$3,190,000</t>
  </si>
  <si>
    <t>$6,090,000</t>
  </si>
  <si>
    <t>$11,036,000</t>
  </si>
  <si>
    <t>Gross Profit</t>
  </si>
  <si>
    <t>$756,000</t>
  </si>
  <si>
    <t>$1,680,000</t>
  </si>
  <si>
    <t>$3,780,000</t>
  </si>
  <si>
    <t>$7,560,000</t>
  </si>
  <si>
    <t>$14,784,000</t>
  </si>
  <si>
    <t>Net Profit (EBITDA</t>
  </si>
  <si>
    <t>$251,000</t>
  </si>
  <si>
    <t>$810,000</t>
  </si>
  <si>
    <t>$2,210,000</t>
  </si>
  <si>
    <t>$4,710,000</t>
  </si>
  <si>
    <t>$10,084,000</t>
  </si>
  <si>
    <t>Depreciation</t>
  </si>
  <si>
    <t>$120,000</t>
  </si>
  <si>
    <t>$250,000</t>
  </si>
  <si>
    <t>$500,000</t>
  </si>
  <si>
    <t>$900,000</t>
  </si>
  <si>
    <t>$1,500,000</t>
  </si>
  <si>
    <t>Operating Profit</t>
  </si>
  <si>
    <t>$131,000</t>
  </si>
  <si>
    <t>$560,000</t>
  </si>
  <si>
    <t>$1,710,000</t>
  </si>
  <si>
    <t>$3,810,000</t>
  </si>
  <si>
    <t>$8,584,000</t>
  </si>
  <si>
    <t>Tax (Estimated)</t>
  </si>
  <si>
    <t>$39,000</t>
  </si>
  <si>
    <t>$168,000</t>
  </si>
  <si>
    <t>$513,000</t>
  </si>
  <si>
    <t>$1,143,000</t>
  </si>
  <si>
    <t>$2,575,000</t>
  </si>
  <si>
    <t>$92,000</t>
  </si>
  <si>
    <t>$392,000</t>
  </si>
  <si>
    <t>$1,197,000</t>
  </si>
  <si>
    <t>$2,667,000</t>
  </si>
  <si>
    <t>$6,009,000</t>
  </si>
  <si>
    <t>Operating Cash Flow</t>
  </si>
  <si>
    <t>$575,000</t>
  </si>
  <si>
    <t>$1,530,000</t>
  </si>
  <si>
    <t>$3,830,000</t>
  </si>
  <si>
    <t>$7,950,000</t>
  </si>
  <si>
    <t>$16,420,000</t>
  </si>
  <si>
    <t>CapEx</t>
  </si>
  <si>
    <t>$280,000</t>
  </si>
  <si>
    <t>$470,000</t>
  </si>
  <si>
    <t>$910,000</t>
  </si>
  <si>
    <t>$1,350,000</t>
  </si>
  <si>
    <t>$1,850,000</t>
  </si>
  <si>
    <t>Free Cash Flow</t>
  </si>
  <si>
    <t>$295,000</t>
  </si>
  <si>
    <t>$1,060,000</t>
  </si>
  <si>
    <t>$2,920,000</t>
  </si>
  <si>
    <t>$6,600,000</t>
  </si>
  <si>
    <t>$14,570,000</t>
  </si>
  <si>
    <t>Ending Cash Balance</t>
  </si>
  <si>
    <t>$483,000</t>
  </si>
  <si>
    <t>$1,493,000</t>
  </si>
  <si>
    <t>$4,363,000</t>
  </si>
  <si>
    <t>$10,893,000</t>
  </si>
  <si>
    <t>$25,383,000</t>
  </si>
  <si>
    <t>EBITDA Margin</t>
  </si>
  <si>
    <t>Net Profit Margin</t>
  </si>
  <si>
    <t xml:space="preserve">Profit and Loss   </t>
  </si>
  <si>
    <t xml:space="preserve">Revenue </t>
  </si>
  <si>
    <t xml:space="preserve"> </t>
  </si>
  <si>
    <t xml:space="preserve"> $ 1,080,000    </t>
  </si>
  <si>
    <t xml:space="preserve"> $ 2,400,000            </t>
  </si>
  <si>
    <t xml:space="preserve"> $ 5,400,000         </t>
  </si>
  <si>
    <t xml:space="preserve"> $ 10,800,000          </t>
  </si>
  <si>
    <t xml:space="preserve"> $ 21,120,000           </t>
  </si>
  <si>
    <t xml:space="preserve">Cost of Services </t>
  </si>
  <si>
    <t xml:space="preserve"> $ 324,000          </t>
  </si>
  <si>
    <t xml:space="preserve"> $ 720,000             </t>
  </si>
  <si>
    <t xml:space="preserve"> $ 1,620,000          </t>
  </si>
  <si>
    <t xml:space="preserve"> $ 3,240,000          </t>
  </si>
  <si>
    <t xml:space="preserve"> $ 6,336,000             </t>
  </si>
  <si>
    <t xml:space="preserve">  </t>
  </si>
  <si>
    <t xml:space="preserve">Gross Profit </t>
  </si>
  <si>
    <t xml:space="preserve"> $ 756,000        </t>
  </si>
  <si>
    <t xml:space="preserve"> $ 1,680,000             </t>
  </si>
  <si>
    <t xml:space="preserve"> $ 3,780,000          </t>
  </si>
  <si>
    <t xml:space="preserve"> $ 7,560,000          </t>
  </si>
  <si>
    <t xml:space="preserve"> $ 14,784,000            </t>
  </si>
  <si>
    <t xml:space="preserve">Operating Expenses </t>
  </si>
  <si>
    <t>Staff &amp; Operations</t>
  </si>
  <si>
    <t xml:space="preserve"> $ 180,000         </t>
  </si>
  <si>
    <t xml:space="preserve"> $ 300,000               </t>
  </si>
  <si>
    <t xml:space="preserve"> $ 600,000           </t>
  </si>
  <si>
    <t xml:space="preserve"> $ 1,200,000          </t>
  </si>
  <si>
    <t xml:space="preserve"> $ 2,000,000           </t>
  </si>
  <si>
    <t>Maintenance &amp; Repairs</t>
  </si>
  <si>
    <t xml:space="preserve"> $ 60,000           </t>
  </si>
  <si>
    <t xml:space="preserve"> $ 60,000                 </t>
  </si>
  <si>
    <t xml:space="preserve"> $ 250,000              </t>
  </si>
  <si>
    <t xml:space="preserve"> $ 500,000               </t>
  </si>
  <si>
    <t xml:space="preserve"> $ 900,000               </t>
  </si>
  <si>
    <t>Software &amp; Tech Support</t>
  </si>
  <si>
    <t xml:space="preserve"> $ 50,000           </t>
  </si>
  <si>
    <t xml:space="preserve"> $ 80,000                </t>
  </si>
  <si>
    <t xml:space="preserve"> $ 120,000              </t>
  </si>
  <si>
    <t xml:space="preserve"> $ 180,000              </t>
  </si>
  <si>
    <t xml:space="preserve"> $ 250,000               </t>
  </si>
  <si>
    <t>Marketing &amp; Promotion</t>
  </si>
  <si>
    <t xml:space="preserve"> $ 120,000           </t>
  </si>
  <si>
    <t xml:space="preserve"> $ 200,000                </t>
  </si>
  <si>
    <t xml:space="preserve"> $ 300,000              </t>
  </si>
  <si>
    <t xml:space="preserve"> $ 500,000              </t>
  </si>
  <si>
    <t xml:space="preserve"> $ 800,000               </t>
  </si>
  <si>
    <t>Logistics &amp; Transport</t>
  </si>
  <si>
    <t xml:space="preserve"> $ 40,000            </t>
  </si>
  <si>
    <t xml:space="preserve"> $ 80,000                 </t>
  </si>
  <si>
    <t xml:space="preserve"> $ 150,000              </t>
  </si>
  <si>
    <t xml:space="preserve"> $ 250,000                </t>
  </si>
  <si>
    <t xml:space="preserve"> $ 400,000                </t>
  </si>
  <si>
    <t>Insurance &amp; Compliance</t>
  </si>
  <si>
    <t xml:space="preserve"> $ 25,000         </t>
  </si>
  <si>
    <t xml:space="preserve"> $ 40,000               </t>
  </si>
  <si>
    <t xml:space="preserve"> $ 70,000            </t>
  </si>
  <si>
    <t xml:space="preserve"> $ 100,000             </t>
  </si>
  <si>
    <t xml:space="preserve">Admin &amp; Miscellaneous </t>
  </si>
  <si>
    <t xml:space="preserve"> $ 30,000          </t>
  </si>
  <si>
    <t xml:space="preserve"> $ 50,000                  </t>
  </si>
  <si>
    <t xml:space="preserve"> $ 80,000             </t>
  </si>
  <si>
    <t xml:space="preserve"> $ 120,000               </t>
  </si>
  <si>
    <t xml:space="preserve"> $ 200,000                 </t>
  </si>
  <si>
    <t xml:space="preserve"> $            </t>
  </si>
  <si>
    <t xml:space="preserve"> $                 </t>
  </si>
  <si>
    <t xml:space="preserve"> $              </t>
  </si>
  <si>
    <t xml:space="preserve"> $               </t>
  </si>
  <si>
    <t xml:space="preserve"> $                </t>
  </si>
  <si>
    <t xml:space="preserve"> Total Operating Expenses</t>
  </si>
  <si>
    <t xml:space="preserve"> $ 505,000             </t>
  </si>
  <si>
    <t xml:space="preserve"> $ 870,000                </t>
  </si>
  <si>
    <t xml:space="preserve"> $ 1,570,000              </t>
  </si>
  <si>
    <t xml:space="preserve"> $ 2,850,000              </t>
  </si>
  <si>
    <t xml:space="preserve"> $ 4,700,000                </t>
  </si>
  <si>
    <t xml:space="preserve">Net Profit </t>
  </si>
  <si>
    <t xml:space="preserve"> $ 251,000   </t>
  </si>
  <si>
    <t xml:space="preserve"> $ 810,000       </t>
  </si>
  <si>
    <t xml:space="preserve"> $ 2,210,000     </t>
  </si>
  <si>
    <t xml:space="preserve"> $ 4,710,000     </t>
  </si>
  <si>
    <t xml:space="preserve"> $ 10,084,000      </t>
  </si>
  <si>
    <t xml:space="preserve">Profit Margin %   </t>
  </si>
  <si>
    <r>
      <t>YEAR 1</t>
    </r>
    <r>
      <rPr>
        <vertAlign val="subscript"/>
        <sz val="15.5"/>
        <color theme="1"/>
        <rFont val="Times New Roman"/>
        <family val="1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</si>
  <si>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r>
      <t>YEAR 2</t>
    </r>
    <r>
      <rPr>
        <vertAlign val="subscript"/>
        <sz val="15.5"/>
        <color theme="1"/>
        <rFont val="Times New Roman"/>
        <family val="1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</si>
  <si>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r>
      <t>YEAR 3</t>
    </r>
    <r>
      <rPr>
        <vertAlign val="subscript"/>
        <sz val="15.5"/>
        <color theme="1"/>
        <rFont val="Times New Roman"/>
        <family val="1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</si>
  <si>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r>
      <t>YEAR 4</t>
    </r>
    <r>
      <rPr>
        <vertAlign val="subscript"/>
        <sz val="15.5"/>
        <color theme="1"/>
        <rFont val="Times New Roman"/>
        <family val="1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</si>
  <si>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r>
      <t>YEAR 5</t>
    </r>
    <r>
      <rPr>
        <vertAlign val="subscript"/>
        <sz val="15.5"/>
        <color theme="1"/>
        <rFont val="Times New Roman"/>
        <family val="1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</si>
  <si>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t xml:space="preserve">YEAR 1   </t>
  </si>
  <si>
    <t xml:space="preserve">ASSET </t>
  </si>
  <si>
    <t xml:space="preserve">Cash </t>
  </si>
  <si>
    <t xml:space="preserve"> $ 450,000         </t>
  </si>
  <si>
    <t xml:space="preserve"> $ 1,800,000          </t>
  </si>
  <si>
    <t xml:space="preserve"> $ 4,500,000           </t>
  </si>
  <si>
    <t xml:space="preserve"> $ 9,200,000           </t>
  </si>
  <si>
    <t xml:space="preserve"> $ 80,000                     </t>
  </si>
  <si>
    <t xml:space="preserve"> $ 150,000                   </t>
  </si>
  <si>
    <t xml:space="preserve"> $ 400,000                   </t>
  </si>
  <si>
    <t xml:space="preserve"> $ 900,000                   </t>
  </si>
  <si>
    <t xml:space="preserve"> $ 1,800,000                   </t>
  </si>
  <si>
    <t>Inventory (Power Banks)</t>
  </si>
  <si>
    <t xml:space="preserve"> $ 150,000     </t>
  </si>
  <si>
    <t xml:space="preserve"> $ 300,000    </t>
  </si>
  <si>
    <t xml:space="preserve"> $ 700,000     </t>
  </si>
  <si>
    <t xml:space="preserve"> $ 1,200,000     </t>
  </si>
  <si>
    <t xml:space="preserve"> $ 2,000,000    </t>
  </si>
  <si>
    <t>Kiosk Equipment (Net PPE)</t>
  </si>
  <si>
    <t>$950,000</t>
  </si>
  <si>
    <t>$1,800,000</t>
  </si>
  <si>
    <t>$3,500,000</t>
  </si>
  <si>
    <t>$6,500,000</t>
  </si>
  <si>
    <t>$10,000,000</t>
  </si>
  <si>
    <t>Software Platform (Net)</t>
  </si>
  <si>
    <t>$25,000</t>
  </si>
  <si>
    <t>$20,000</t>
  </si>
  <si>
    <t>$15,000</t>
  </si>
  <si>
    <t>$10,000</t>
  </si>
  <si>
    <t>Total Assets</t>
  </si>
  <si>
    <t>$1,325,000</t>
  </si>
  <si>
    <t>$2,720,000</t>
  </si>
  <si>
    <t>$6,415,000</t>
  </si>
  <si>
    <t>$13,110,000</t>
  </si>
  <si>
    <t>$23,005,000</t>
  </si>
  <si>
    <t>LIABILITIES</t>
  </si>
  <si>
    <t>Accounts Payable</t>
  </si>
  <si>
    <t>$60,000</t>
  </si>
  <si>
    <t>Short-Term Liabilities</t>
  </si>
  <si>
    <t>$200,000</t>
  </si>
  <si>
    <t>$300,000</t>
  </si>
  <si>
    <t>$400,000</t>
  </si>
  <si>
    <t>Long-Term Debt</t>
  </si>
  <si>
    <t>$150,000</t>
  </si>
  <si>
    <t>$80,000</t>
  </si>
  <si>
    <t>$0</t>
  </si>
  <si>
    <t>Total Liabilities</t>
  </si>
  <si>
    <t>$460,000</t>
  </si>
  <si>
    <t>$570,000</t>
  </si>
  <si>
    <t>$700,000</t>
  </si>
  <si>
    <t>$980,000</t>
  </si>
  <si>
    <t>$1,400,000</t>
  </si>
  <si>
    <t>SHAREHOLDERS EQUITY</t>
  </si>
  <si>
    <t>Owner Equity (Initial Capital)</t>
  </si>
  <si>
    <t>$188,000</t>
  </si>
  <si>
    <t>Retained Earnings</t>
  </si>
  <si>
    <t>$677,000</t>
  </si>
  <si>
    <t>$1,962,000</t>
  </si>
  <si>
    <t>$5,527,000</t>
  </si>
  <si>
    <t>$11,942,000</t>
  </si>
  <si>
    <t>$21,417,000</t>
  </si>
  <si>
    <t>Additional Investor Equity</t>
  </si>
  <si>
    <t>Total Equity</t>
  </si>
  <si>
    <t>$865,000</t>
  </si>
  <si>
    <t>$2,150,000</t>
  </si>
  <si>
    <t>$5,715,000</t>
  </si>
  <si>
    <t>$12,130,000</t>
  </si>
  <si>
    <t>$21,605,000</t>
  </si>
  <si>
    <t xml:space="preserve">Account Receivable </t>
  </si>
  <si>
    <t xml:space="preserve">BALANCE SHEET </t>
  </si>
  <si>
    <t>YEAR 1</t>
  </si>
  <si>
    <t>YEAR 2</t>
  </si>
  <si>
    <t>YEAR 3</t>
  </si>
  <si>
    <t>YEAR 4</t>
  </si>
  <si>
    <t>YEAR 5</t>
  </si>
  <si>
    <t xml:space="preserve">Opening Cash </t>
  </si>
  <si>
    <t xml:space="preserve"> $ 0       </t>
  </si>
  <si>
    <t xml:space="preserve"> $ 120,000         </t>
  </si>
  <si>
    <t xml:space="preserve"> $ 1,800,000         </t>
  </si>
  <si>
    <t xml:space="preserve"> $ 4,500,000        </t>
  </si>
  <si>
    <t>Operating Cash Inflow (Revenue)</t>
  </si>
  <si>
    <t xml:space="preserve"> $ 1,080,000                </t>
  </si>
  <si>
    <t xml:space="preserve">  $ 2,400,000                   </t>
  </si>
  <si>
    <t xml:space="preserve">  $ 5,400,000                     </t>
  </si>
  <si>
    <t xml:space="preserve">  $ 10,800,000              </t>
  </si>
  <si>
    <t xml:space="preserve"> $ 21,120,000                </t>
  </si>
  <si>
    <t>Operating Expenses Paid</t>
  </si>
  <si>
    <t xml:space="preserve"> $ 505,000                </t>
  </si>
  <si>
    <t xml:space="preserve">  $ 870,000               </t>
  </si>
  <si>
    <t xml:space="preserve">  $ 1,570,000                     </t>
  </si>
  <si>
    <t xml:space="preserve">  $ 2,850,000                    </t>
  </si>
  <si>
    <t xml:space="preserve"> $ 4,700,000               </t>
  </si>
  <si>
    <t xml:space="preserve">   </t>
  </si>
  <si>
    <t>Net Operating Cash Flow</t>
  </si>
  <si>
    <t xml:space="preserve"> $ 575,000                </t>
  </si>
  <si>
    <t xml:space="preserve">  $ 1,530,000                  </t>
  </si>
  <si>
    <t xml:space="preserve">  $ 3,830,000                    </t>
  </si>
  <si>
    <t xml:space="preserve">  $ 7,950,000               </t>
  </si>
  <si>
    <t xml:space="preserve"> $ 16,420,000                </t>
  </si>
  <si>
    <t>Investing Cash Flow</t>
  </si>
  <si>
    <t xml:space="preserve">                 </t>
  </si>
  <si>
    <t xml:space="preserve">                       </t>
  </si>
  <si>
    <t xml:space="preserve">Kiosk Purchase &amp; Expansion </t>
  </si>
  <si>
    <r>
      <t xml:space="preserve"> $ 150,000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</si>
  <si>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 $ 250,000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</si>
  <si>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t xml:space="preserve"> $ 500,000     </t>
  </si>
  <si>
    <r>
      <t xml:space="preserve"> $ 750,000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</si>
  <si>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 $ 1,000,000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</si>
  <si>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t>Power Bank Inventory</t>
  </si>
  <si>
    <t xml:space="preserve"> $ 60,000                </t>
  </si>
  <si>
    <r>
      <t xml:space="preserve"> </t>
    </r>
    <r>
      <rPr>
        <sz val="11"/>
        <color theme="1"/>
        <rFont val="Calibri"/>
        <family val="2"/>
        <scheme val="minor"/>
      </rPr>
      <t xml:space="preserve">   </t>
    </r>
  </si>
  <si>
    <t xml:space="preserve">  $ 120,000                </t>
  </si>
  <si>
    <t xml:space="preserve">  $ 250,000                 </t>
  </si>
  <si>
    <t xml:space="preserve">  $ 400,000                </t>
  </si>
  <si>
    <t xml:space="preserve"> $ 600,000                 </t>
  </si>
  <si>
    <t>Software Enhancements</t>
  </si>
  <si>
    <r>
      <t xml:space="preserve"> $ 30,000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</si>
  <si>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 $ 40,000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</si>
  <si>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t xml:space="preserve"> $ 60,000     </t>
  </si>
  <si>
    <r>
      <t xml:space="preserve"> $ 80,000 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</si>
  <si>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 $ 100,000    </t>
    </r>
    <r>
      <rPr>
        <sz val="10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</si>
  <si>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t>Infrastructure Setup</t>
  </si>
  <si>
    <t xml:space="preserve">  $ 60,000                    </t>
  </si>
  <si>
    <t xml:space="preserve">  $ 100,000                     </t>
  </si>
  <si>
    <t xml:space="preserve">  $ 120,000                      </t>
  </si>
  <si>
    <t xml:space="preserve"> $ 150,000                </t>
  </si>
  <si>
    <t>Total Investing Cash Flow</t>
  </si>
  <si>
    <t xml:space="preserve"> $ 280,000                </t>
  </si>
  <si>
    <t xml:space="preserve">  $ 470,000                    </t>
  </si>
  <si>
    <t xml:space="preserve">  $ 910,000                     </t>
  </si>
  <si>
    <t xml:space="preserve">  $ 1,350,000                      </t>
  </si>
  <si>
    <t xml:space="preserve"> $ 1,850,000               </t>
  </si>
  <si>
    <t xml:space="preserve">NET CASHFLOW </t>
  </si>
  <si>
    <t xml:space="preserve"> $ 483,000        </t>
  </si>
  <si>
    <t xml:space="preserve"> $ 1,010,000         </t>
  </si>
  <si>
    <t xml:space="preserve"> $ 2,870,000          </t>
  </si>
  <si>
    <t xml:space="preserve"> $ 6,530,000         </t>
  </si>
  <si>
    <t xml:space="preserve"> $ 14,490,000        </t>
  </si>
  <si>
    <t xml:space="preserve">CASH BALANCE </t>
  </si>
  <si>
    <t xml:space="preserve"> $ 483,000         </t>
  </si>
  <si>
    <t xml:space="preserve"> $ 1,493,000        </t>
  </si>
  <si>
    <t xml:space="preserve"> $ 4,363,000      </t>
  </si>
  <si>
    <t xml:space="preserve"> $ 10,893,000      </t>
  </si>
  <si>
    <t xml:space="preserve"> $ 25,383,000     </t>
  </si>
  <si>
    <t>NET CASHFLOW</t>
  </si>
  <si>
    <t>CASH BALANCE</t>
  </si>
  <si>
    <t xml:space="preserve"> $ 1,080,000       </t>
  </si>
  <si>
    <t xml:space="preserve"> $ 2,400,000       </t>
  </si>
  <si>
    <t xml:space="preserve"> $ 5,400,000       </t>
  </si>
  <si>
    <t xml:space="preserve"> $ 10,800,000       </t>
  </si>
  <si>
    <t xml:space="preserve"> $ 21,120,000       </t>
  </si>
  <si>
    <t xml:space="preserve"> $ 305,000          </t>
  </si>
  <si>
    <t xml:space="preserve"> $ 520,000        </t>
  </si>
  <si>
    <t xml:space="preserve"> $ 850,000        </t>
  </si>
  <si>
    <t xml:space="preserve"> $ 1,600,000       </t>
  </si>
  <si>
    <t xml:space="preserve"> $ 2,800,000       </t>
  </si>
  <si>
    <t>$1,620,000</t>
  </si>
  <si>
    <t>Contribution Margin</t>
  </si>
  <si>
    <t xml:space="preserve"> $756,000        </t>
  </si>
  <si>
    <t xml:space="preserve"> $1,680,000        </t>
  </si>
  <si>
    <t xml:space="preserve"> $ 3,780,000       </t>
  </si>
  <si>
    <t xml:space="preserve"> $ 7,560,000       </t>
  </si>
  <si>
    <t xml:space="preserve"> $ 14,784,000    </t>
  </si>
  <si>
    <t>Contribution Margin Ratio</t>
  </si>
  <si>
    <t>Break-Even Point</t>
  </si>
  <si>
    <t>$435,714</t>
  </si>
  <si>
    <t>$742,857</t>
  </si>
  <si>
    <t>$1,214,286</t>
  </si>
  <si>
    <t>$2,285,714</t>
  </si>
  <si>
    <t>$4,000,000</t>
  </si>
  <si>
    <t>Net Profit</t>
  </si>
  <si>
    <t>Net Worth</t>
  </si>
  <si>
    <r>
      <t>BREAK-EVEN ANALYSIS</t>
    </r>
    <r>
      <rPr>
        <b/>
        <sz val="16"/>
        <color theme="0"/>
        <rFont val="Century Gothic"/>
        <family val="2"/>
      </rPr>
      <t xml:space="preserve"> </t>
    </r>
  </si>
  <si>
    <r>
      <t>CASH FLOW STATEMENT</t>
    </r>
    <r>
      <rPr>
        <sz val="16"/>
        <color theme="1"/>
        <rFont val="Century Gothic"/>
        <family val="2"/>
      </rPr>
      <t xml:space="preserve">  </t>
    </r>
    <r>
      <rPr>
        <sz val="16"/>
        <color rgb="FFFFFFFF"/>
        <rFont val="Century Gothic"/>
        <family val="2"/>
      </rPr>
      <t xml:space="preserve"> </t>
    </r>
  </si>
  <si>
    <t xml:space="preserve">Power bank station Statement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</si>
</sst>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entury Gothic"/>
      <family val="2"/>
    </font>
    <font>
      <vertAlign val="subscript"/>
      <sz val="15.5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theme="0"/>
      <name val="Calibri"/>
      <family val="2"/>
      <scheme val="minor"/>
    </font>
    <font>
      <b/>
      <sz val="16"/>
      <color theme="0"/>
      <name val="Century Gothic"/>
      <family val="2"/>
    </font>
    <font>
      <sz val="16"/>
      <color rgb="FFFFFFFF"/>
      <name val="Century Gothic"/>
      <family val="2"/>
    </font>
    <font>
      <b/>
      <sz val="16"/>
      <color theme="1"/>
      <name val="Century Gothic"/>
      <family val="2"/>
    </font>
    <font>
      <sz val="24"/>
      <color theme="2" tint="-0.74999237037263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/>
    <xf numFmtId="9" fontId="1" fillId="0" borderId="4" xfId="0" applyNumberFormat="1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0" borderId="0" xfId="0" applyFont="1"/>
    <xf numFmtId="0" fontId="0" fillId="0" borderId="3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0" fillId="0" borderId="0" xfId="0" applyFont="1"/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18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9" fontId="1" fillId="0" borderId="14" xfId="0" applyNumberFormat="1" applyFont="1" applyBorder="1" applyAlignment="1">
      <alignment vertical="center" wrapText="1"/>
    </xf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0" fontId="0" fillId="0" borderId="0" xfId="0"/>
    <xf numFmtId="3" fontId="0" fillId="0" borderId="0" xfId="0" applyNumberFormat="1"/>
    <xf numFmtId="0" fontId="9" fillId="0" borderId="0" xfId="0" applyFont="1"/>
    <xf numFmtId="0" fontId="0" fillId="0" borderId="0" xfId="0"/>
    <xf numFmtId="3" fontId="0" fillId="0" borderId="0" xfId="0" applyNumberFormat="1"/>
    <xf numFmtId="0" fontId="9" fillId="0" borderId="0" xfId="0" applyFont="1"/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vertical="center"/>
    </xf>
    <xf numFmtId="0" fontId="0" fillId="0" borderId="0" xfId="0"/>
    <xf numFmtId="3" fontId="0" fillId="0" borderId="0" xfId="0" applyNumberFormat="1"/>
    <xf numFmtId="0" fontId="9" fillId="0" borderId="0" xfId="0" applyFont="1"/>
    <xf numFmtId="0" fontId="1" fillId="2" borderId="12" xfId="0" applyFont="1" applyFill="1" applyBorder="1" applyAlignment="1">
      <alignment vertical="center" wrapText="1"/>
    </xf>
    <xf numFmtId="0" fontId="0" fillId="2" borderId="0" xfId="0" applyFill="1"/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0" fillId="3" borderId="0" xfId="0" applyFill="1"/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0" fillId="4" borderId="0" xfId="0" applyFill="1"/>
    <xf numFmtId="0" fontId="1" fillId="4" borderId="13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vertical="center" wrapText="1"/>
    </xf>
    <xf numFmtId="0" fontId="3" fillId="5" borderId="0" xfId="0" applyFont="1" applyFill="1"/>
    <xf numFmtId="0" fontId="9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1" fillId="6" borderId="3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0" fillId="7" borderId="0" xfId="0" applyFill="1"/>
    <xf numFmtId="0" fontId="4" fillId="7" borderId="0" xfId="0" applyFont="1" applyFill="1"/>
    <xf numFmtId="0" fontId="15" fillId="7" borderId="0" xfId="0" applyFont="1" applyFill="1" applyAlignment="1">
      <alignment vertical="center"/>
    </xf>
    <xf numFmtId="0" fontId="5" fillId="6" borderId="5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4" fillId="4" borderId="10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1" fillId="2" borderId="10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vertical="center" wrapText="1"/>
    </xf>
    <xf numFmtId="0" fontId="11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Financial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Overview'!$K$5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'Financial Overview'!$J$6:$J$10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Overview'!$K$6:$K$10</c:f>
              <c:numCache>
                <c:formatCode>#,##0</c:formatCode>
                <c:ptCount val="5"/>
                <c:pt idx="0">
                  <c:v>1080000</c:v>
                </c:pt>
                <c:pt idx="1">
                  <c:v>2400000</c:v>
                </c:pt>
                <c:pt idx="2">
                  <c:v>5400000</c:v>
                </c:pt>
                <c:pt idx="3">
                  <c:v>10800000</c:v>
                </c:pt>
                <c:pt idx="4">
                  <c:v>21120000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4-406B-BE8A-727E028871C3}"/>
            </c:ext>
          </c:extLst>
        </c:ser>
        <c:ser>
          <c:idx val="1"/>
          <c:order val="1"/>
          <c:tx>
            <c:strRef>
              <c:f>'Financial Overview'!$L$5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'Financial Overview'!$J$6:$J$10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Overview'!$L$6:$L$10</c:f>
              <c:numCache>
                <c:formatCode>#,##0</c:formatCode>
                <c:ptCount val="5"/>
                <c:pt idx="0">
                  <c:v>829000</c:v>
                </c:pt>
                <c:pt idx="1">
                  <c:v>1590000</c:v>
                </c:pt>
                <c:pt idx="2">
                  <c:v>3190000</c:v>
                </c:pt>
                <c:pt idx="3">
                  <c:v>6090000</c:v>
                </c:pt>
                <c:pt idx="4">
                  <c:v>11036000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4-406B-BE8A-727E028871C3}"/>
            </c:ext>
          </c:extLst>
        </c:ser>
        <c:ser>
          <c:idx val="2"/>
          <c:order val="2"/>
          <c:tx>
            <c:strRef>
              <c:f>'Financial Overview'!$M$5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'Financial Overview'!$J$6:$J$10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Overview'!$M$6:$M$10</c:f>
              <c:numCache>
                <c:formatCode>#,##0</c:formatCode>
                <c:ptCount val="5"/>
                <c:pt idx="0">
                  <c:v>251000</c:v>
                </c:pt>
                <c:pt idx="1">
                  <c:v>810000</c:v>
                </c:pt>
                <c:pt idx="2">
                  <c:v>2210000</c:v>
                </c:pt>
                <c:pt idx="3">
                  <c:v>4710000</c:v>
                </c:pt>
                <c:pt idx="4">
                  <c:v>10084000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4-406B-BE8A-727E02887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25495824"/>
        <c:axId val="1263183392"/>
        <c:axId val="0"/>
      </c:bar3DChart>
      <c:catAx>
        <c:axId val="12254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83392"/>
        <c:crosses val="autoZero"/>
        <c:auto val="1"/>
        <c:lblAlgn val="ctr"/>
        <c:lblOffset val="100"/>
        <c:noMultiLvlLbl val="0"/>
      </c:catAx>
      <c:valAx>
        <c:axId val="1263183392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9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'PROFIT AND LOSS'!$J$16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'PROFIT AND LOSS'!$I$17:$I$21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'PROFIT AND LOSS'!$J$17:$J$21</c:f>
              <c:numCache>
                <c:formatCode>#,##0</c:formatCode>
                <c:ptCount val="5"/>
                <c:pt idx="0">
                  <c:v>251000</c:v>
                </c:pt>
                <c:pt idx="1">
                  <c:v>810000</c:v>
                </c:pt>
                <c:pt idx="2">
                  <c:v>2210000</c:v>
                </c:pt>
                <c:pt idx="3">
                  <c:v>4710000</c:v>
                </c:pt>
                <c:pt idx="4">
                  <c:v>10084000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3-4815-812A-5A8B42714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69903984"/>
        <c:axId val="1263150528"/>
        <c:axId val="0"/>
      </c:bar3DChart>
      <c:catAx>
        <c:axId val="12699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50528"/>
        <c:crosses val="autoZero"/>
        <c:auto val="1"/>
        <c:lblAlgn val="ctr"/>
        <c:lblOffset val="100"/>
        <c:noMultiLvlLbl val="0"/>
      </c:catAx>
      <c:valAx>
        <c:axId val="1263150528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'!$I$12</c:f>
              <c:strCache>
                <c:ptCount val="1"/>
                <c:pt idx="0">
                  <c:v>Net Worth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SHEET '!$H$13:$H$17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'BALANCE SHEET '!$I$13:$I$17</c:f>
              <c:numCache>
                <c:formatCode>#,##0</c:formatCode>
                <c:ptCount val="5"/>
                <c:pt idx="0">
                  <c:v>1325000</c:v>
                </c:pt>
                <c:pt idx="1">
                  <c:v>2720000</c:v>
                </c:pt>
                <c:pt idx="2">
                  <c:v>6415000</c:v>
                </c:pt>
                <c:pt idx="3">
                  <c:v>13110000</c:v>
                </c:pt>
                <c:pt idx="4">
                  <c:v>23005000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2-4296-8CAD-1917E678A3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8147328"/>
        <c:axId val="1263165920"/>
      </c:lineChart>
      <c:catAx>
        <c:axId val="12681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65920"/>
        <c:crosses val="autoZero"/>
        <c:auto val="1"/>
        <c:lblAlgn val="ctr"/>
        <c:lblOffset val="100"/>
        <c:noMultiLvlLbl val="0"/>
      </c:catAx>
      <c:valAx>
        <c:axId val="1263165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6814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'CASH FLOW'!$J$11</c:f>
              <c:strCache>
                <c:ptCount val="1"/>
                <c:pt idx="0">
                  <c:v>NET CASHFLOW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'CASH FLOW'!$I$12:$I$16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FLOW'!$J$12:$J$16</c:f>
              <c:numCache>
                <c:formatCode>#,##0</c:formatCode>
                <c:ptCount val="5"/>
                <c:pt idx="0">
                  <c:v>483000</c:v>
                </c:pt>
                <c:pt idx="1">
                  <c:v>1010000</c:v>
                </c:pt>
                <c:pt idx="2">
                  <c:v>2870000</c:v>
                </c:pt>
                <c:pt idx="3">
                  <c:v>6530000</c:v>
                </c:pt>
                <c:pt idx="4">
                  <c:v>14490000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5-4498-992B-D3DD8C51D062}"/>
            </c:ext>
          </c:extLst>
        </c:ser>
        <c:ser>
          <c:idx val="1"/>
          <c:order val="1"/>
          <c:tx>
            <c:strRef>
              <c:f>'CASH FLOW'!$K$11</c:f>
              <c:strCache>
                <c:ptCount val="1"/>
                <c:pt idx="0">
                  <c:v>CASH BALANCE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'CASH FLOW'!$I$12:$I$16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'CASH FLOW'!$K$12:$K$16</c:f>
              <c:numCache>
                <c:formatCode>#,##0</c:formatCode>
                <c:ptCount val="5"/>
                <c:pt idx="0">
                  <c:v>483000</c:v>
                </c:pt>
                <c:pt idx="1">
                  <c:v>1493000</c:v>
                </c:pt>
                <c:pt idx="2">
                  <c:v>4363000</c:v>
                </c:pt>
                <c:pt idx="3">
                  <c:v>10893000</c:v>
                </c:pt>
                <c:pt idx="4">
                  <c:v>25383000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5-4498-992B-D3DD8C51D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68130528"/>
        <c:axId val="1263172992"/>
        <c:axId val="0"/>
      </c:bar3DChart>
      <c:catAx>
        <c:axId val="126813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72992"/>
        <c:crossesAt val="0"/>
        <c:auto val="1"/>
        <c:lblAlgn val="ctr"/>
        <c:lblOffset val="100"/>
        <c:noMultiLvlLbl val="0"/>
      </c:catAx>
      <c:valAx>
        <c:axId val="1263172992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3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Break-even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ANALYSIS'!$J$6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'BREAK-EVEN ANALYSIS'!$I$7:$I$11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'BREAK-EVEN ANALYSIS'!$J$7:$J$11</c:f>
              <c:numCache>
                <c:formatCode>#,##0</c:formatCode>
                <c:ptCount val="5"/>
                <c:pt idx="0">
                  <c:v>1080000</c:v>
                </c:pt>
                <c:pt idx="1">
                  <c:v>2400000</c:v>
                </c:pt>
                <c:pt idx="2">
                  <c:v>5400000</c:v>
                </c:pt>
                <c:pt idx="3">
                  <c:v>10800000</c:v>
                </c:pt>
                <c:pt idx="4">
                  <c:v>21120000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7-42B4-A70A-1C4B9C319082}"/>
            </c:ext>
          </c:extLst>
        </c:ser>
        <c:ser>
          <c:idx val="1"/>
          <c:order val="1"/>
          <c:tx>
            <c:strRef>
              <c:f>'BREAK-EVEN ANALYSIS'!$K$6</c:f>
              <c:strCache>
                <c:ptCount val="1"/>
                <c:pt idx="0">
                  <c:v>Break-Even Point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'BREAK-EVEN ANALYSIS'!$I$7:$I$11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'BREAK-EVEN ANALYSIS'!$K$7:$K$11</c:f>
              <c:numCache>
                <c:formatCode>#,##0</c:formatCode>
                <c:ptCount val="5"/>
                <c:pt idx="0">
                  <c:v>435714</c:v>
                </c:pt>
                <c:pt idx="1">
                  <c:v>742857</c:v>
                </c:pt>
                <c:pt idx="2">
                  <c:v>1214286</c:v>
                </c:pt>
                <c:pt idx="3">
                  <c:v>2285714</c:v>
                </c:pt>
                <c:pt idx="4">
                  <c:v>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77-42B4-A70A-1C4B9C3190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8137728"/>
        <c:axId val="1221987968"/>
      </c:lineChart>
      <c:catAx>
        <c:axId val="12681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87968"/>
        <c:crosses val="autoZero"/>
        <c:auto val="1"/>
        <c:lblAlgn val="ctr"/>
        <c:lblOffset val="100"/>
        <c:noMultiLvlLbl val="0"/>
      </c:catAx>
      <c:valAx>
        <c:axId val="12219879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6813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3</xdr:row>
      <xdr:rowOff>100012</xdr:rowOff>
    </xdr:from>
    <xdr:to>
      <xdr:col>14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4E996-66D2-4F03-A1BF-02B04E51A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6</xdr:row>
      <xdr:rowOff>76201</xdr:rowOff>
    </xdr:from>
    <xdr:to>
      <xdr:col>13</xdr:col>
      <xdr:colOff>581025</xdr:colOff>
      <xdr:row>23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D17F6C-2DB6-431A-BE7C-06FF9BBC1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9</xdr:row>
      <xdr:rowOff>157162</xdr:rowOff>
    </xdr:from>
    <xdr:to>
      <xdr:col>13</xdr:col>
      <xdr:colOff>495300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87672-8EFB-4BF8-B587-071030D76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4</xdr:row>
      <xdr:rowOff>166687</xdr:rowOff>
    </xdr:from>
    <xdr:to>
      <xdr:col>14</xdr:col>
      <xdr:colOff>238125</xdr:colOff>
      <xdr:row>18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568F1-6D1A-4B0D-A703-285B66ECF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2</xdr:row>
      <xdr:rowOff>166687</xdr:rowOff>
    </xdr:from>
    <xdr:to>
      <xdr:col>14</xdr:col>
      <xdr:colOff>333375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DA8CE-BF9A-452A-91C0-E22AD01D1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1C66-017D-4CBA-9A75-57EDC7A82F0F}">
  <sheetPr>
    <tabColor rgb="FFFFFF00"/>
  </sheetPr>
  <dimension ref="A1:G16"/>
  <sheetViews>
    <sheetView workbookViewId="0">
      <selection activeCell="I10" sqref="I10"/>
    </sheetView>
  </sheetViews>
  <sheetFormatPr defaultRowHeight="15" x14ac:dyDescent="0.25"/>
  <cols>
    <col min="1" max="3" width="9.140625" style="66"/>
    <col min="4" max="4" width="40.7109375" customWidth="1"/>
    <col min="5" max="6" width="12.7109375" customWidth="1"/>
    <col min="7" max="7" width="20.7109375" customWidth="1"/>
  </cols>
  <sheetData>
    <row r="1" spans="1:7" s="66" customFormat="1" x14ac:dyDescent="0.25"/>
    <row r="2" spans="1:7" s="66" customFormat="1" x14ac:dyDescent="0.25"/>
    <row r="3" spans="1:7" s="66" customFormat="1" x14ac:dyDescent="0.25"/>
    <row r="4" spans="1:7" s="66" customFormat="1" ht="32.25" thickBot="1" x14ac:dyDescent="0.3">
      <c r="D4" s="68" t="s">
        <v>0</v>
      </c>
    </row>
    <row r="5" spans="1:7" ht="30.75" thickBot="1" x14ac:dyDescent="0.3">
      <c r="D5" s="1" t="s">
        <v>1</v>
      </c>
      <c r="E5" s="2" t="s">
        <v>2</v>
      </c>
      <c r="F5" s="2" t="s">
        <v>3</v>
      </c>
      <c r="G5" s="2" t="s">
        <v>4</v>
      </c>
    </row>
    <row r="6" spans="1:7" ht="15.75" thickBot="1" x14ac:dyDescent="0.3">
      <c r="D6" s="3" t="s">
        <v>5</v>
      </c>
      <c r="E6" s="4" t="s">
        <v>6</v>
      </c>
      <c r="F6" s="4">
        <v>20</v>
      </c>
      <c r="G6" s="4" t="s">
        <v>7</v>
      </c>
    </row>
    <row r="7" spans="1:7" ht="15.75" thickBot="1" x14ac:dyDescent="0.3">
      <c r="D7" s="3" t="s">
        <v>8</v>
      </c>
      <c r="E7" s="4" t="s">
        <v>9</v>
      </c>
      <c r="F7" s="4">
        <v>600</v>
      </c>
      <c r="G7" s="4" t="s">
        <v>10</v>
      </c>
    </row>
    <row r="8" spans="1:7" ht="15.75" thickBot="1" x14ac:dyDescent="0.3">
      <c r="D8" s="3" t="s">
        <v>11</v>
      </c>
      <c r="E8" s="4" t="s">
        <v>12</v>
      </c>
      <c r="F8" s="4">
        <v>20</v>
      </c>
      <c r="G8" s="4" t="s">
        <v>13</v>
      </c>
    </row>
    <row r="9" spans="1:7" ht="15.75" thickBot="1" x14ac:dyDescent="0.3">
      <c r="D9" s="3" t="s">
        <v>14</v>
      </c>
      <c r="E9" s="4" t="s">
        <v>15</v>
      </c>
      <c r="F9" s="4">
        <v>1</v>
      </c>
      <c r="G9" s="4" t="s">
        <v>15</v>
      </c>
    </row>
    <row r="10" spans="1:7" ht="15.75" thickBot="1" x14ac:dyDescent="0.3">
      <c r="D10" s="3" t="s">
        <v>16</v>
      </c>
      <c r="E10" s="4" t="s">
        <v>17</v>
      </c>
      <c r="F10" s="4">
        <v>1</v>
      </c>
      <c r="G10" s="4" t="s">
        <v>17</v>
      </c>
    </row>
    <row r="11" spans="1:7" ht="15.75" thickBot="1" x14ac:dyDescent="0.3">
      <c r="D11" s="3" t="s">
        <v>18</v>
      </c>
      <c r="E11" s="4" t="s">
        <v>6</v>
      </c>
      <c r="F11" s="4">
        <v>1</v>
      </c>
      <c r="G11" s="4" t="s">
        <v>6</v>
      </c>
    </row>
    <row r="12" spans="1:7" ht="15.75" thickBot="1" x14ac:dyDescent="0.3">
      <c r="D12" s="3" t="s">
        <v>19</v>
      </c>
      <c r="E12" s="4" t="s">
        <v>20</v>
      </c>
      <c r="F12" s="4">
        <v>1</v>
      </c>
      <c r="G12" s="4" t="s">
        <v>20</v>
      </c>
    </row>
    <row r="13" spans="1:7" ht="15.75" thickBot="1" x14ac:dyDescent="0.3">
      <c r="D13" s="3" t="s">
        <v>21</v>
      </c>
      <c r="E13" s="4" t="s">
        <v>22</v>
      </c>
      <c r="F13" s="4">
        <v>20</v>
      </c>
      <c r="G13" s="4" t="s">
        <v>23</v>
      </c>
    </row>
    <row r="14" spans="1:7" ht="15.75" thickBot="1" x14ac:dyDescent="0.3">
      <c r="D14" s="3" t="s">
        <v>24</v>
      </c>
      <c r="E14" s="4" t="s">
        <v>6</v>
      </c>
      <c r="F14" s="4">
        <v>1</v>
      </c>
      <c r="G14" s="4" t="s">
        <v>6</v>
      </c>
    </row>
    <row r="15" spans="1:7" ht="15.75" thickBot="1" x14ac:dyDescent="0.3">
      <c r="D15" s="3"/>
      <c r="E15" s="4"/>
      <c r="F15" s="4"/>
      <c r="G15" s="4"/>
    </row>
    <row r="16" spans="1:7" s="7" customFormat="1" ht="38.25" thickBot="1" x14ac:dyDescent="0.35">
      <c r="A16" s="67"/>
      <c r="B16" s="67"/>
      <c r="C16" s="67"/>
      <c r="D16" s="5" t="s">
        <v>25</v>
      </c>
      <c r="E16" s="6"/>
      <c r="F16" s="6"/>
      <c r="G16" s="6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C850-ECBB-446B-ADBA-22FE6B687C28}">
  <sheetPr>
    <tabColor theme="9" tint="-0.499984740745262"/>
  </sheetPr>
  <dimension ref="A1:M19"/>
  <sheetViews>
    <sheetView workbookViewId="0">
      <selection activeCell="A3" sqref="A1:XFD3"/>
    </sheetView>
  </sheetViews>
  <sheetFormatPr defaultRowHeight="15" x14ac:dyDescent="0.25"/>
  <cols>
    <col min="1" max="1" width="25.7109375" customWidth="1"/>
    <col min="2" max="6" width="12.85546875" customWidth="1"/>
  </cols>
  <sheetData>
    <row r="1" spans="1:13" s="63" customFormat="1" ht="18" customHeight="1" x14ac:dyDescent="0.25">
      <c r="A1" s="69" t="s">
        <v>27</v>
      </c>
      <c r="B1" s="71"/>
      <c r="C1" s="71"/>
      <c r="D1" s="71"/>
      <c r="E1" s="71"/>
      <c r="F1" s="71"/>
    </row>
    <row r="2" spans="1:13" s="63" customFormat="1" ht="15.75" thickBot="1" x14ac:dyDescent="0.3">
      <c r="A2" s="70"/>
      <c r="B2" s="72"/>
      <c r="C2" s="72"/>
      <c r="D2" s="72"/>
      <c r="E2" s="72"/>
      <c r="F2" s="72"/>
    </row>
    <row r="3" spans="1:13" s="63" customFormat="1" ht="15.75" thickBot="1" x14ac:dyDescent="0.3">
      <c r="A3" s="64"/>
      <c r="B3" s="65" t="s">
        <v>28</v>
      </c>
      <c r="C3" s="65" t="s">
        <v>29</v>
      </c>
      <c r="D3" s="65" t="s">
        <v>30</v>
      </c>
      <c r="E3" s="65" t="s">
        <v>31</v>
      </c>
      <c r="F3" s="65" t="s">
        <v>32</v>
      </c>
    </row>
    <row r="4" spans="1:13" ht="15.75" thickBot="1" x14ac:dyDescent="0.3">
      <c r="A4" s="3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 spans="1:13" ht="15.75" thickBot="1" x14ac:dyDescent="0.3">
      <c r="A5" s="3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J5" s="34" t="s">
        <v>120</v>
      </c>
      <c r="K5" s="36" t="s">
        <v>33</v>
      </c>
      <c r="L5" s="34" t="s">
        <v>51</v>
      </c>
      <c r="M5" s="34" t="s">
        <v>192</v>
      </c>
    </row>
    <row r="6" spans="1:13" ht="15.75" thickBot="1" x14ac:dyDescent="0.3">
      <c r="A6" s="3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J6" s="34" t="s">
        <v>28</v>
      </c>
      <c r="K6" s="35">
        <v>1080000</v>
      </c>
      <c r="L6" s="35">
        <v>829000</v>
      </c>
      <c r="M6" s="35">
        <v>251000</v>
      </c>
    </row>
    <row r="7" spans="1:13" ht="15.75" thickBot="1" x14ac:dyDescent="0.3">
      <c r="A7" s="3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J7" s="34" t="s">
        <v>29</v>
      </c>
      <c r="K7" s="35">
        <v>2400000</v>
      </c>
      <c r="L7" s="35">
        <v>1590000</v>
      </c>
      <c r="M7" s="35">
        <v>810000</v>
      </c>
    </row>
    <row r="8" spans="1:13" ht="15.75" thickBot="1" x14ac:dyDescent="0.3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J8" s="34" t="s">
        <v>30</v>
      </c>
      <c r="K8" s="35">
        <v>5400000</v>
      </c>
      <c r="L8" s="35">
        <v>3190000</v>
      </c>
      <c r="M8" s="35">
        <v>2210000</v>
      </c>
    </row>
    <row r="9" spans="1:13" ht="15.75" thickBot="1" x14ac:dyDescent="0.3">
      <c r="A9" s="3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J9" s="34" t="s">
        <v>31</v>
      </c>
      <c r="K9" s="35">
        <v>10800000</v>
      </c>
      <c r="L9" s="35">
        <v>6090000</v>
      </c>
      <c r="M9" s="35">
        <v>4710000</v>
      </c>
    </row>
    <row r="10" spans="1:13" ht="15.75" thickBot="1" x14ac:dyDescent="0.3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J10" s="34" t="s">
        <v>32</v>
      </c>
      <c r="K10" s="35">
        <v>21120000</v>
      </c>
      <c r="L10" s="35">
        <v>11036000</v>
      </c>
      <c r="M10" s="35">
        <v>10084000</v>
      </c>
    </row>
    <row r="11" spans="1:13" ht="15.75" thickBot="1" x14ac:dyDescent="0.3">
      <c r="A11" s="3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</row>
    <row r="12" spans="1:13" ht="15.75" thickBot="1" x14ac:dyDescent="0.3">
      <c r="A12" s="3" t="s">
        <v>81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86</v>
      </c>
    </row>
    <row r="13" spans="1:13" ht="15.75" thickBot="1" x14ac:dyDescent="0.3">
      <c r="A13" s="3" t="s">
        <v>374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</row>
    <row r="14" spans="1:13" ht="15.75" thickBot="1" x14ac:dyDescent="0.3">
      <c r="A14" s="3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</row>
    <row r="15" spans="1:13" ht="15.75" thickBot="1" x14ac:dyDescent="0.3">
      <c r="A15" s="3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</row>
    <row r="16" spans="1:13" ht="15.75" thickBot="1" x14ac:dyDescent="0.3">
      <c r="A16" s="3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</row>
    <row r="17" spans="1:6" ht="15.75" thickBot="1" x14ac:dyDescent="0.3">
      <c r="A17" s="3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</row>
    <row r="18" spans="1:6" ht="15.75" thickBot="1" x14ac:dyDescent="0.3">
      <c r="A18" s="3" t="s">
        <v>116</v>
      </c>
      <c r="B18" s="8">
        <v>0.23</v>
      </c>
      <c r="C18" s="8">
        <v>0.34</v>
      </c>
      <c r="D18" s="8">
        <v>0.41</v>
      </c>
      <c r="E18" s="8">
        <v>0.44</v>
      </c>
      <c r="F18" s="8">
        <v>0.48</v>
      </c>
    </row>
    <row r="19" spans="1:6" ht="15.75" thickBot="1" x14ac:dyDescent="0.3">
      <c r="A19" s="3" t="s">
        <v>117</v>
      </c>
      <c r="B19" s="9">
        <v>8.5000000000000006E-2</v>
      </c>
      <c r="C19" s="8">
        <v>0.16</v>
      </c>
      <c r="D19" s="8">
        <v>0.22</v>
      </c>
      <c r="E19" s="8">
        <v>0.25</v>
      </c>
      <c r="F19" s="8">
        <v>0.28000000000000003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93B4-06C4-424E-8E08-203AF38E57DD}">
  <sheetPr>
    <tabColor rgb="FF002060"/>
  </sheetPr>
  <dimension ref="A1:J34"/>
  <sheetViews>
    <sheetView tabSelected="1" workbookViewId="0">
      <selection sqref="A1:F1"/>
    </sheetView>
  </sheetViews>
  <sheetFormatPr defaultRowHeight="15" x14ac:dyDescent="0.25"/>
  <cols>
    <col min="1" max="1" width="35.7109375" style="16" customWidth="1"/>
    <col min="2" max="6" width="12.7109375" customWidth="1"/>
  </cols>
  <sheetData>
    <row r="1" spans="1:10" s="59" customFormat="1" ht="29.25" thickBot="1" x14ac:dyDescent="0.5">
      <c r="A1" s="79" t="s">
        <v>378</v>
      </c>
      <c r="B1" s="80"/>
      <c r="C1" s="80"/>
      <c r="D1" s="80"/>
      <c r="E1" s="80"/>
      <c r="F1" s="81"/>
    </row>
    <row r="2" spans="1:10" s="62" customFormat="1" ht="17.25" thickBot="1" x14ac:dyDescent="0.3">
      <c r="A2" s="60" t="s">
        <v>118</v>
      </c>
      <c r="B2" s="61" t="s">
        <v>199</v>
      </c>
      <c r="C2" s="61" t="s">
        <v>200</v>
      </c>
      <c r="D2" s="61" t="s">
        <v>201</v>
      </c>
      <c r="E2" s="61" t="s">
        <v>202</v>
      </c>
      <c r="F2" s="61" t="s">
        <v>203</v>
      </c>
    </row>
    <row r="3" spans="1:10" ht="15.75" thickBot="1" x14ac:dyDescent="0.3">
      <c r="A3" s="14"/>
      <c r="B3" s="4"/>
      <c r="C3" s="4"/>
      <c r="D3" s="4"/>
      <c r="E3" s="4"/>
      <c r="F3" s="4"/>
    </row>
    <row r="4" spans="1:10" ht="16.5" x14ac:dyDescent="0.25">
      <c r="A4" s="15" t="s">
        <v>119</v>
      </c>
      <c r="B4" s="10" t="s">
        <v>121</v>
      </c>
      <c r="C4" s="10" t="s">
        <v>122</v>
      </c>
      <c r="D4" s="10" t="s">
        <v>123</v>
      </c>
      <c r="E4" s="10" t="s">
        <v>124</v>
      </c>
      <c r="F4" s="75" t="s">
        <v>125</v>
      </c>
    </row>
    <row r="5" spans="1:10" ht="17.25" thickBot="1" x14ac:dyDescent="0.3">
      <c r="A5" s="12" t="s">
        <v>120</v>
      </c>
      <c r="B5" s="4" t="s">
        <v>120</v>
      </c>
      <c r="C5" s="4" t="s">
        <v>120</v>
      </c>
      <c r="D5" s="4" t="s">
        <v>120</v>
      </c>
      <c r="E5" s="4" t="s">
        <v>120</v>
      </c>
      <c r="F5" s="76"/>
    </row>
    <row r="6" spans="1:10" ht="15.75" thickBot="1" x14ac:dyDescent="0.3">
      <c r="A6" s="14"/>
      <c r="B6" s="4"/>
      <c r="C6" s="4"/>
      <c r="D6" s="4"/>
      <c r="E6" s="4"/>
      <c r="F6" s="4"/>
    </row>
    <row r="7" spans="1:10" x14ac:dyDescent="0.25">
      <c r="A7" s="77" t="s">
        <v>126</v>
      </c>
      <c r="B7" s="10" t="s">
        <v>127</v>
      </c>
      <c r="C7" s="10" t="s">
        <v>128</v>
      </c>
      <c r="D7" s="10" t="s">
        <v>129</v>
      </c>
      <c r="E7" s="10" t="s">
        <v>130</v>
      </c>
      <c r="F7" s="10" t="s">
        <v>131</v>
      </c>
    </row>
    <row r="8" spans="1:10" ht="15.75" thickBot="1" x14ac:dyDescent="0.3">
      <c r="A8" s="78"/>
      <c r="B8" s="4" t="s">
        <v>120</v>
      </c>
      <c r="C8" s="4" t="s">
        <v>120</v>
      </c>
      <c r="D8" s="4" t="s">
        <v>120</v>
      </c>
      <c r="E8" s="4" t="s">
        <v>120</v>
      </c>
      <c r="F8" s="4" t="s">
        <v>120</v>
      </c>
    </row>
    <row r="9" spans="1:10" ht="17.25" thickBot="1" x14ac:dyDescent="0.3">
      <c r="A9" s="12" t="s">
        <v>132</v>
      </c>
      <c r="B9" s="4"/>
      <c r="C9" s="4"/>
      <c r="D9" s="4"/>
      <c r="E9" s="4"/>
      <c r="F9" s="4"/>
    </row>
    <row r="10" spans="1:10" x14ac:dyDescent="0.25">
      <c r="A10" s="73" t="s">
        <v>133</v>
      </c>
      <c r="B10" s="75" t="s">
        <v>134</v>
      </c>
      <c r="C10" s="75" t="s">
        <v>135</v>
      </c>
      <c r="D10" s="75" t="s">
        <v>136</v>
      </c>
      <c r="E10" s="75" t="s">
        <v>137</v>
      </c>
      <c r="F10" s="75" t="s">
        <v>138</v>
      </c>
    </row>
    <row r="11" spans="1:10" ht="15.75" thickBot="1" x14ac:dyDescent="0.3">
      <c r="A11" s="74"/>
      <c r="B11" s="76"/>
      <c r="C11" s="76"/>
      <c r="D11" s="76"/>
      <c r="E11" s="76"/>
      <c r="F11" s="76"/>
    </row>
    <row r="12" spans="1:10" ht="15.75" thickBot="1" x14ac:dyDescent="0.3">
      <c r="A12" s="14"/>
      <c r="B12" s="4" t="s">
        <v>120</v>
      </c>
      <c r="C12" s="11" t="s">
        <v>120</v>
      </c>
      <c r="D12" s="11" t="s">
        <v>120</v>
      </c>
      <c r="E12" s="11" t="s">
        <v>120</v>
      </c>
      <c r="F12" s="11" t="s">
        <v>120</v>
      </c>
    </row>
    <row r="13" spans="1:10" ht="17.25" thickBot="1" x14ac:dyDescent="0.3">
      <c r="A13" s="12" t="s">
        <v>139</v>
      </c>
      <c r="B13" s="4"/>
      <c r="C13" s="4"/>
      <c r="D13" s="4"/>
      <c r="E13" s="4"/>
      <c r="F13" s="4"/>
    </row>
    <row r="14" spans="1:10" x14ac:dyDescent="0.25">
      <c r="A14" s="77" t="s">
        <v>140</v>
      </c>
      <c r="B14" s="75" t="s">
        <v>141</v>
      </c>
      <c r="C14" s="75" t="s">
        <v>142</v>
      </c>
      <c r="D14" s="75" t="s">
        <v>143</v>
      </c>
      <c r="E14" s="75" t="s">
        <v>144</v>
      </c>
      <c r="F14" s="75" t="s">
        <v>145</v>
      </c>
    </row>
    <row r="15" spans="1:10" ht="15.75" thickBot="1" x14ac:dyDescent="0.3">
      <c r="A15" s="78"/>
      <c r="B15" s="76"/>
      <c r="C15" s="76"/>
      <c r="D15" s="76"/>
      <c r="E15" s="76"/>
      <c r="F15" s="76"/>
    </row>
    <row r="16" spans="1:10" ht="16.5" x14ac:dyDescent="0.3">
      <c r="A16" s="77" t="s">
        <v>146</v>
      </c>
      <c r="B16" s="75" t="s">
        <v>147</v>
      </c>
      <c r="C16" s="75" t="s">
        <v>148</v>
      </c>
      <c r="D16" s="75" t="s">
        <v>149</v>
      </c>
      <c r="E16" s="75" t="s">
        <v>150</v>
      </c>
      <c r="F16" s="75" t="s">
        <v>151</v>
      </c>
      <c r="I16" s="37" t="s">
        <v>120</v>
      </c>
      <c r="J16" s="39" t="s">
        <v>192</v>
      </c>
    </row>
    <row r="17" spans="1:10" ht="15.75" thickBot="1" x14ac:dyDescent="0.3">
      <c r="A17" s="78"/>
      <c r="B17" s="76"/>
      <c r="C17" s="76"/>
      <c r="D17" s="76"/>
      <c r="E17" s="76"/>
      <c r="F17" s="76"/>
      <c r="I17" s="37" t="s">
        <v>28</v>
      </c>
      <c r="J17" s="38">
        <v>251000</v>
      </c>
    </row>
    <row r="18" spans="1:10" x14ac:dyDescent="0.25">
      <c r="A18" s="77" t="s">
        <v>152</v>
      </c>
      <c r="B18" s="75" t="s">
        <v>153</v>
      </c>
      <c r="C18" s="75" t="s">
        <v>154</v>
      </c>
      <c r="D18" s="75" t="s">
        <v>155</v>
      </c>
      <c r="E18" s="75" t="s">
        <v>156</v>
      </c>
      <c r="F18" s="75" t="s">
        <v>157</v>
      </c>
      <c r="I18" s="37" t="s">
        <v>29</v>
      </c>
      <c r="J18" s="38">
        <v>810000</v>
      </c>
    </row>
    <row r="19" spans="1:10" ht="15.75" thickBot="1" x14ac:dyDescent="0.3">
      <c r="A19" s="78"/>
      <c r="B19" s="76"/>
      <c r="C19" s="76"/>
      <c r="D19" s="76"/>
      <c r="E19" s="76"/>
      <c r="F19" s="76"/>
      <c r="I19" s="37" t="s">
        <v>30</v>
      </c>
      <c r="J19" s="38">
        <v>2210000</v>
      </c>
    </row>
    <row r="20" spans="1:10" x14ac:dyDescent="0.25">
      <c r="A20" s="77" t="s">
        <v>158</v>
      </c>
      <c r="B20" s="75" t="s">
        <v>159</v>
      </c>
      <c r="C20" s="75" t="s">
        <v>160</v>
      </c>
      <c r="D20" s="10" t="s">
        <v>161</v>
      </c>
      <c r="E20" s="75" t="s">
        <v>162</v>
      </c>
      <c r="F20" s="75" t="s">
        <v>163</v>
      </c>
      <c r="I20" s="37" t="s">
        <v>31</v>
      </c>
      <c r="J20" s="38">
        <v>4710000</v>
      </c>
    </row>
    <row r="21" spans="1:10" ht="15.75" thickBot="1" x14ac:dyDescent="0.3">
      <c r="A21" s="78"/>
      <c r="B21" s="76"/>
      <c r="C21" s="76"/>
      <c r="D21" s="4" t="s">
        <v>120</v>
      </c>
      <c r="E21" s="76"/>
      <c r="F21" s="76"/>
      <c r="I21" s="37" t="s">
        <v>32</v>
      </c>
      <c r="J21" s="38">
        <v>10084000</v>
      </c>
    </row>
    <row r="22" spans="1:10" x14ac:dyDescent="0.25">
      <c r="A22" s="77" t="s">
        <v>164</v>
      </c>
      <c r="B22" s="75" t="s">
        <v>165</v>
      </c>
      <c r="C22" s="75" t="s">
        <v>166</v>
      </c>
      <c r="D22" s="75" t="s">
        <v>167</v>
      </c>
      <c r="E22" s="75" t="s">
        <v>168</v>
      </c>
      <c r="F22" s="75" t="s">
        <v>169</v>
      </c>
    </row>
    <row r="23" spans="1:10" ht="15.75" thickBot="1" x14ac:dyDescent="0.3">
      <c r="A23" s="78"/>
      <c r="B23" s="76"/>
      <c r="C23" s="76"/>
      <c r="D23" s="76"/>
      <c r="E23" s="76"/>
      <c r="F23" s="76"/>
    </row>
    <row r="24" spans="1:10" x14ac:dyDescent="0.25">
      <c r="A24" s="77" t="s">
        <v>170</v>
      </c>
      <c r="B24" s="75" t="s">
        <v>171</v>
      </c>
      <c r="C24" s="75" t="s">
        <v>172</v>
      </c>
      <c r="D24" s="75" t="s">
        <v>173</v>
      </c>
      <c r="E24" s="75" t="s">
        <v>174</v>
      </c>
      <c r="F24" s="75" t="s">
        <v>167</v>
      </c>
    </row>
    <row r="25" spans="1:10" ht="15.75" thickBot="1" x14ac:dyDescent="0.3">
      <c r="A25" s="78"/>
      <c r="B25" s="76"/>
      <c r="C25" s="76"/>
      <c r="D25" s="76"/>
      <c r="E25" s="76"/>
      <c r="F25" s="76"/>
    </row>
    <row r="26" spans="1:10" x14ac:dyDescent="0.25">
      <c r="A26" s="77" t="s">
        <v>175</v>
      </c>
      <c r="B26" s="75" t="s">
        <v>176</v>
      </c>
      <c r="C26" s="75" t="s">
        <v>177</v>
      </c>
      <c r="D26" s="10" t="s">
        <v>178</v>
      </c>
      <c r="E26" s="10" t="s">
        <v>179</v>
      </c>
      <c r="F26" s="75" t="s">
        <v>180</v>
      </c>
    </row>
    <row r="27" spans="1:10" ht="15.75" thickBot="1" x14ac:dyDescent="0.3">
      <c r="A27" s="78"/>
      <c r="B27" s="76"/>
      <c r="C27" s="76"/>
      <c r="D27" s="4" t="s">
        <v>120</v>
      </c>
      <c r="E27" s="4" t="s">
        <v>120</v>
      </c>
      <c r="F27" s="76"/>
    </row>
    <row r="28" spans="1:10" x14ac:dyDescent="0.25">
      <c r="A28" s="77" t="s">
        <v>69</v>
      </c>
      <c r="B28" s="75" t="s">
        <v>181</v>
      </c>
      <c r="C28" s="75" t="s">
        <v>182</v>
      </c>
      <c r="D28" s="75" t="s">
        <v>183</v>
      </c>
      <c r="E28" s="75" t="s">
        <v>184</v>
      </c>
      <c r="F28" s="75" t="s">
        <v>185</v>
      </c>
    </row>
    <row r="29" spans="1:10" ht="15.75" thickBot="1" x14ac:dyDescent="0.3">
      <c r="A29" s="78"/>
      <c r="B29" s="76"/>
      <c r="C29" s="76"/>
      <c r="D29" s="76"/>
      <c r="E29" s="76"/>
      <c r="F29" s="76"/>
    </row>
    <row r="30" spans="1:10" x14ac:dyDescent="0.25">
      <c r="A30" s="73" t="s">
        <v>186</v>
      </c>
      <c r="B30" s="75" t="s">
        <v>187</v>
      </c>
      <c r="C30" s="75" t="s">
        <v>188</v>
      </c>
      <c r="D30" s="75" t="s">
        <v>189</v>
      </c>
      <c r="E30" s="75" t="s">
        <v>190</v>
      </c>
      <c r="F30" s="75" t="s">
        <v>191</v>
      </c>
    </row>
    <row r="31" spans="1:10" ht="15.75" thickBot="1" x14ac:dyDescent="0.3">
      <c r="A31" s="74"/>
      <c r="B31" s="76"/>
      <c r="C31" s="76"/>
      <c r="D31" s="76"/>
      <c r="E31" s="76"/>
      <c r="F31" s="76"/>
    </row>
    <row r="32" spans="1:10" x14ac:dyDescent="0.25">
      <c r="A32" s="73" t="s">
        <v>192</v>
      </c>
      <c r="B32" s="75" t="s">
        <v>193</v>
      </c>
      <c r="C32" s="75" t="s">
        <v>194</v>
      </c>
      <c r="D32" s="75" t="s">
        <v>195</v>
      </c>
      <c r="E32" s="75" t="s">
        <v>196</v>
      </c>
      <c r="F32" s="75" t="s">
        <v>197</v>
      </c>
    </row>
    <row r="33" spans="1:6" ht="15.75" thickBot="1" x14ac:dyDescent="0.3">
      <c r="A33" s="74"/>
      <c r="B33" s="76"/>
      <c r="C33" s="76"/>
      <c r="D33" s="76"/>
      <c r="E33" s="76"/>
      <c r="F33" s="76"/>
    </row>
    <row r="34" spans="1:6" ht="17.25" thickBot="1" x14ac:dyDescent="0.3">
      <c r="A34" s="12" t="s">
        <v>198</v>
      </c>
      <c r="B34" s="8">
        <v>0.23</v>
      </c>
      <c r="C34" s="8">
        <v>0.34</v>
      </c>
      <c r="D34" s="8">
        <v>0.41</v>
      </c>
      <c r="E34" s="8">
        <v>0.44</v>
      </c>
      <c r="F34" s="8">
        <v>0.48</v>
      </c>
    </row>
  </sheetData>
  <mergeCells count="66">
    <mergeCell ref="F14:F15"/>
    <mergeCell ref="A1:F1"/>
    <mergeCell ref="F4:F5"/>
    <mergeCell ref="A7:A8"/>
    <mergeCell ref="A10:A11"/>
    <mergeCell ref="B10:B11"/>
    <mergeCell ref="C10:C11"/>
    <mergeCell ref="D10:D11"/>
    <mergeCell ref="E10:E11"/>
    <mergeCell ref="F10:F11"/>
    <mergeCell ref="A14:A15"/>
    <mergeCell ref="B14:B15"/>
    <mergeCell ref="C14:C15"/>
    <mergeCell ref="D14:D15"/>
    <mergeCell ref="E14:E15"/>
    <mergeCell ref="F18:F19"/>
    <mergeCell ref="A16:A17"/>
    <mergeCell ref="B16:B17"/>
    <mergeCell ref="C16:C17"/>
    <mergeCell ref="D16:D17"/>
    <mergeCell ref="E16:E17"/>
    <mergeCell ref="F16:F17"/>
    <mergeCell ref="A18:A19"/>
    <mergeCell ref="B18:B19"/>
    <mergeCell ref="C18:C19"/>
    <mergeCell ref="D18:D19"/>
    <mergeCell ref="E18:E19"/>
    <mergeCell ref="A20:A21"/>
    <mergeCell ref="B20:B21"/>
    <mergeCell ref="C20:C21"/>
    <mergeCell ref="E20:E21"/>
    <mergeCell ref="F20:F21"/>
    <mergeCell ref="F22:F23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  <mergeCell ref="E22:E23"/>
    <mergeCell ref="A26:A27"/>
    <mergeCell ref="B26:B27"/>
    <mergeCell ref="C26:C27"/>
    <mergeCell ref="F26:F27"/>
    <mergeCell ref="A28:A29"/>
    <mergeCell ref="B28:B29"/>
    <mergeCell ref="C28:C29"/>
    <mergeCell ref="D28:D29"/>
    <mergeCell ref="E28:E29"/>
    <mergeCell ref="F28:F29"/>
    <mergeCell ref="F32:F33"/>
    <mergeCell ref="A30:A31"/>
    <mergeCell ref="B30:B31"/>
    <mergeCell ref="C30:C31"/>
    <mergeCell ref="D30:D31"/>
    <mergeCell ref="E30:E31"/>
    <mergeCell ref="F30:F31"/>
    <mergeCell ref="A32:A33"/>
    <mergeCell ref="B32:B33"/>
    <mergeCell ref="C32:C33"/>
    <mergeCell ref="D32:D33"/>
    <mergeCell ref="E32:E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7E80-AEF7-496A-A9FF-F9F42A169A26}">
  <sheetPr>
    <tabColor rgb="FF00B0F0"/>
  </sheetPr>
  <dimension ref="A1:I25"/>
  <sheetViews>
    <sheetView workbookViewId="0">
      <selection sqref="A1:XFD2"/>
    </sheetView>
  </sheetViews>
  <sheetFormatPr defaultRowHeight="15" x14ac:dyDescent="0.25"/>
  <cols>
    <col min="1" max="1" width="30.7109375" customWidth="1"/>
    <col min="2" max="6" width="15.7109375" customWidth="1"/>
  </cols>
  <sheetData>
    <row r="1" spans="1:9" s="56" customFormat="1" ht="20.25" thickBot="1" x14ac:dyDescent="0.3">
      <c r="A1" s="82" t="s">
        <v>273</v>
      </c>
      <c r="B1" s="83"/>
      <c r="C1" s="83"/>
      <c r="D1" s="83"/>
      <c r="E1" s="83"/>
      <c r="F1" s="84"/>
    </row>
    <row r="2" spans="1:9" s="56" customFormat="1" ht="15.75" thickBot="1" x14ac:dyDescent="0.3">
      <c r="A2" s="57"/>
      <c r="B2" s="58" t="s">
        <v>204</v>
      </c>
      <c r="C2" s="58" t="s">
        <v>200</v>
      </c>
      <c r="D2" s="58" t="s">
        <v>201</v>
      </c>
      <c r="E2" s="58" t="s">
        <v>202</v>
      </c>
      <c r="F2" s="58" t="s">
        <v>203</v>
      </c>
    </row>
    <row r="3" spans="1:9" ht="17.25" thickBot="1" x14ac:dyDescent="0.3">
      <c r="A3" s="19" t="s">
        <v>205</v>
      </c>
      <c r="B3" s="18"/>
      <c r="C3" s="18"/>
      <c r="D3" s="18"/>
      <c r="E3" s="18"/>
      <c r="F3" s="18"/>
    </row>
    <row r="4" spans="1:9" x14ac:dyDescent="0.25">
      <c r="A4" s="85" t="s">
        <v>206</v>
      </c>
      <c r="B4" s="87" t="s">
        <v>159</v>
      </c>
      <c r="C4" s="87" t="s">
        <v>207</v>
      </c>
      <c r="D4" s="87" t="s">
        <v>208</v>
      </c>
      <c r="E4" s="87" t="s">
        <v>209</v>
      </c>
      <c r="F4" s="87" t="s">
        <v>210</v>
      </c>
    </row>
    <row r="5" spans="1:9" ht="15.75" thickBot="1" x14ac:dyDescent="0.3">
      <c r="A5" s="86"/>
      <c r="B5" s="88"/>
      <c r="C5" s="88"/>
      <c r="D5" s="88"/>
      <c r="E5" s="88"/>
      <c r="F5" s="88"/>
    </row>
    <row r="6" spans="1:9" ht="16.5" x14ac:dyDescent="0.25">
      <c r="A6" s="20" t="s">
        <v>272</v>
      </c>
      <c r="B6" s="24" t="s">
        <v>211</v>
      </c>
      <c r="C6" s="21" t="s">
        <v>212</v>
      </c>
      <c r="D6" s="21" t="s">
        <v>213</v>
      </c>
      <c r="E6" s="24" t="s">
        <v>214</v>
      </c>
      <c r="F6" s="21" t="s">
        <v>215</v>
      </c>
    </row>
    <row r="7" spans="1:9" x14ac:dyDescent="0.25">
      <c r="A7" s="22" t="s">
        <v>216</v>
      </c>
      <c r="B7" s="21" t="s">
        <v>217</v>
      </c>
      <c r="C7" s="21" t="s">
        <v>218</v>
      </c>
      <c r="D7" s="21" t="s">
        <v>219</v>
      </c>
      <c r="E7" s="21" t="s">
        <v>220</v>
      </c>
      <c r="F7" s="21" t="s">
        <v>221</v>
      </c>
    </row>
    <row r="8" spans="1:9" ht="15.75" thickBot="1" x14ac:dyDescent="0.3">
      <c r="A8" s="23" t="s">
        <v>120</v>
      </c>
      <c r="B8" s="18" t="s">
        <v>120</v>
      </c>
      <c r="C8" s="18" t="s">
        <v>120</v>
      </c>
      <c r="D8" s="18" t="s">
        <v>120</v>
      </c>
      <c r="E8" s="18" t="s">
        <v>120</v>
      </c>
      <c r="F8" s="18" t="s">
        <v>120</v>
      </c>
    </row>
    <row r="9" spans="1:9" ht="15.75" thickBot="1" x14ac:dyDescent="0.3">
      <c r="A9" s="17" t="s">
        <v>222</v>
      </c>
      <c r="B9" s="18" t="s">
        <v>223</v>
      </c>
      <c r="C9" s="18" t="s">
        <v>224</v>
      </c>
      <c r="D9" s="18" t="s">
        <v>225</v>
      </c>
      <c r="E9" s="18" t="s">
        <v>226</v>
      </c>
      <c r="F9" s="18" t="s">
        <v>227</v>
      </c>
    </row>
    <row r="10" spans="1:9" ht="15.75" thickBot="1" x14ac:dyDescent="0.3">
      <c r="A10" s="17" t="s">
        <v>228</v>
      </c>
      <c r="B10" s="18" t="s">
        <v>229</v>
      </c>
      <c r="C10" s="18" t="s">
        <v>230</v>
      </c>
      <c r="D10" s="18" t="s">
        <v>231</v>
      </c>
      <c r="E10" s="18" t="s">
        <v>232</v>
      </c>
      <c r="F10" s="18" t="s">
        <v>6</v>
      </c>
    </row>
    <row r="11" spans="1:9" s="13" customFormat="1" ht="15.75" thickBot="1" x14ac:dyDescent="0.3">
      <c r="A11" s="28" t="s">
        <v>233</v>
      </c>
      <c r="B11" s="29" t="s">
        <v>234</v>
      </c>
      <c r="C11" s="29" t="s">
        <v>235</v>
      </c>
      <c r="D11" s="29" t="s">
        <v>236</v>
      </c>
      <c r="E11" s="29" t="s">
        <v>237</v>
      </c>
      <c r="F11" s="29" t="s">
        <v>238</v>
      </c>
    </row>
    <row r="12" spans="1:9" ht="17.25" thickBot="1" x14ac:dyDescent="0.35">
      <c r="A12" s="17"/>
      <c r="B12" s="18"/>
      <c r="C12" s="18"/>
      <c r="D12" s="18"/>
      <c r="E12" s="18"/>
      <c r="F12" s="18"/>
      <c r="H12" s="40" t="s">
        <v>120</v>
      </c>
      <c r="I12" s="42" t="s">
        <v>375</v>
      </c>
    </row>
    <row r="13" spans="1:9" ht="15.75" thickBot="1" x14ac:dyDescent="0.3">
      <c r="A13" s="17" t="s">
        <v>239</v>
      </c>
      <c r="B13" s="18"/>
      <c r="C13" s="18"/>
      <c r="D13" s="18"/>
      <c r="E13" s="18"/>
      <c r="F13" s="18"/>
      <c r="H13" s="40" t="s">
        <v>28</v>
      </c>
      <c r="I13" s="41">
        <v>1325000</v>
      </c>
    </row>
    <row r="14" spans="1:9" ht="15.75" thickBot="1" x14ac:dyDescent="0.3">
      <c r="A14" s="17" t="s">
        <v>240</v>
      </c>
      <c r="B14" s="18" t="s">
        <v>241</v>
      </c>
      <c r="C14" s="18" t="s">
        <v>70</v>
      </c>
      <c r="D14" s="18" t="s">
        <v>71</v>
      </c>
      <c r="E14" s="18" t="s">
        <v>72</v>
      </c>
      <c r="F14" s="18" t="s">
        <v>73</v>
      </c>
      <c r="H14" s="40" t="s">
        <v>29</v>
      </c>
      <c r="I14" s="41">
        <v>2720000</v>
      </c>
    </row>
    <row r="15" spans="1:9" ht="15.75" thickBot="1" x14ac:dyDescent="0.3">
      <c r="A15" s="17" t="s">
        <v>242</v>
      </c>
      <c r="B15" s="18" t="s">
        <v>7</v>
      </c>
      <c r="C15" s="18" t="s">
        <v>243</v>
      </c>
      <c r="D15" s="18" t="s">
        <v>244</v>
      </c>
      <c r="E15" s="18" t="s">
        <v>245</v>
      </c>
      <c r="F15" s="18" t="s">
        <v>72</v>
      </c>
      <c r="H15" s="40" t="s">
        <v>30</v>
      </c>
      <c r="I15" s="41">
        <v>6415000</v>
      </c>
    </row>
    <row r="16" spans="1:9" ht="15.75" thickBot="1" x14ac:dyDescent="0.3">
      <c r="A16" s="17" t="s">
        <v>246</v>
      </c>
      <c r="B16" s="18" t="s">
        <v>244</v>
      </c>
      <c r="C16" s="18" t="s">
        <v>71</v>
      </c>
      <c r="D16" s="18" t="s">
        <v>247</v>
      </c>
      <c r="E16" s="18" t="s">
        <v>248</v>
      </c>
      <c r="F16" s="18" t="s">
        <v>249</v>
      </c>
      <c r="H16" s="40" t="s">
        <v>31</v>
      </c>
      <c r="I16" s="41">
        <v>13110000</v>
      </c>
    </row>
    <row r="17" spans="1:9" s="13" customFormat="1" ht="15.75" thickBot="1" x14ac:dyDescent="0.3">
      <c r="A17" s="28" t="s">
        <v>250</v>
      </c>
      <c r="B17" s="29" t="s">
        <v>251</v>
      </c>
      <c r="C17" s="29" t="s">
        <v>252</v>
      </c>
      <c r="D17" s="29" t="s">
        <v>253</v>
      </c>
      <c r="E17" s="29" t="s">
        <v>254</v>
      </c>
      <c r="F17" s="29" t="s">
        <v>255</v>
      </c>
      <c r="H17" s="40" t="s">
        <v>32</v>
      </c>
      <c r="I17" s="41">
        <v>23005000</v>
      </c>
    </row>
    <row r="18" spans="1:9" ht="15.75" thickBot="1" x14ac:dyDescent="0.3">
      <c r="A18" s="17"/>
      <c r="B18" s="18"/>
      <c r="C18" s="18"/>
      <c r="D18" s="18"/>
      <c r="E18" s="18"/>
      <c r="F18" s="18"/>
    </row>
    <row r="19" spans="1:9" ht="15.75" thickBot="1" x14ac:dyDescent="0.3">
      <c r="A19" s="17" t="s">
        <v>256</v>
      </c>
      <c r="B19" s="18"/>
      <c r="C19" s="18"/>
      <c r="D19" s="18"/>
      <c r="E19" s="18"/>
      <c r="F19" s="18"/>
    </row>
    <row r="20" spans="1:9" ht="15.75" thickBot="1" x14ac:dyDescent="0.3">
      <c r="A20" s="17" t="s">
        <v>257</v>
      </c>
      <c r="B20" s="18" t="s">
        <v>258</v>
      </c>
      <c r="C20" s="18" t="s">
        <v>258</v>
      </c>
      <c r="D20" s="18" t="s">
        <v>258</v>
      </c>
      <c r="E20" s="18" t="s">
        <v>258</v>
      </c>
      <c r="F20" s="18" t="s">
        <v>258</v>
      </c>
    </row>
    <row r="21" spans="1:9" ht="15.75" thickBot="1" x14ac:dyDescent="0.3">
      <c r="A21" s="17" t="s">
        <v>259</v>
      </c>
      <c r="B21" s="18" t="s">
        <v>260</v>
      </c>
      <c r="C21" s="18" t="s">
        <v>261</v>
      </c>
      <c r="D21" s="18" t="s">
        <v>262</v>
      </c>
      <c r="E21" s="18" t="s">
        <v>263</v>
      </c>
      <c r="F21" s="18" t="s">
        <v>264</v>
      </c>
    </row>
    <row r="22" spans="1:9" ht="15.75" thickBot="1" x14ac:dyDescent="0.3">
      <c r="A22" s="17" t="s">
        <v>265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</row>
    <row r="23" spans="1:9" s="13" customFormat="1" ht="15.75" thickBot="1" x14ac:dyDescent="0.3">
      <c r="A23" s="28" t="s">
        <v>266</v>
      </c>
      <c r="B23" s="29" t="s">
        <v>267</v>
      </c>
      <c r="C23" s="29" t="s">
        <v>268</v>
      </c>
      <c r="D23" s="29" t="s">
        <v>269</v>
      </c>
      <c r="E23" s="29" t="s">
        <v>270</v>
      </c>
      <c r="F23" s="29" t="s">
        <v>271</v>
      </c>
    </row>
    <row r="25" spans="1:9" ht="15.75" thickBot="1" x14ac:dyDescent="0.3">
      <c r="A25" s="13" t="s">
        <v>375</v>
      </c>
      <c r="B25" s="29" t="s">
        <v>234</v>
      </c>
      <c r="C25" s="29" t="s">
        <v>235</v>
      </c>
      <c r="D25" s="29" t="s">
        <v>236</v>
      </c>
      <c r="E25" s="29" t="s">
        <v>237</v>
      </c>
      <c r="F25" s="29" t="s">
        <v>238</v>
      </c>
    </row>
  </sheetData>
  <mergeCells count="7">
    <mergeCell ref="A1:F1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A078-7788-4997-BBBB-CE60C4143081}">
  <sheetPr>
    <tabColor rgb="FFC00000"/>
  </sheetPr>
  <dimension ref="A1:K27"/>
  <sheetViews>
    <sheetView workbookViewId="0">
      <selection activeCell="A3" sqref="A3:A4"/>
    </sheetView>
  </sheetViews>
  <sheetFormatPr defaultRowHeight="15" x14ac:dyDescent="0.25"/>
  <cols>
    <col min="1" max="1" width="35.7109375" customWidth="1"/>
    <col min="2" max="6" width="12.7109375" customWidth="1"/>
  </cols>
  <sheetData>
    <row r="1" spans="1:11" s="53" customFormat="1" ht="21.75" thickBot="1" x14ac:dyDescent="0.3">
      <c r="A1" s="91" t="s">
        <v>377</v>
      </c>
      <c r="B1" s="92"/>
      <c r="C1" s="92"/>
      <c r="D1" s="92"/>
      <c r="E1" s="92"/>
      <c r="F1" s="93"/>
    </row>
    <row r="2" spans="1:11" s="53" customFormat="1" ht="15.75" thickBot="1" x14ac:dyDescent="0.3">
      <c r="A2" s="54"/>
      <c r="B2" s="55" t="s">
        <v>274</v>
      </c>
      <c r="C2" s="55" t="s">
        <v>275</v>
      </c>
      <c r="D2" s="55" t="s">
        <v>276</v>
      </c>
      <c r="E2" s="55" t="s">
        <v>277</v>
      </c>
      <c r="F2" s="55" t="s">
        <v>278</v>
      </c>
    </row>
    <row r="3" spans="1:11" x14ac:dyDescent="0.25">
      <c r="A3" s="85" t="s">
        <v>279</v>
      </c>
      <c r="B3" s="21" t="s">
        <v>280</v>
      </c>
      <c r="C3" s="21" t="s">
        <v>281</v>
      </c>
      <c r="D3" s="21" t="s">
        <v>207</v>
      </c>
      <c r="E3" s="21" t="s">
        <v>282</v>
      </c>
      <c r="F3" s="21" t="s">
        <v>283</v>
      </c>
    </row>
    <row r="4" spans="1:11" ht="15.75" thickBot="1" x14ac:dyDescent="0.3">
      <c r="A4" s="86"/>
      <c r="B4" s="18" t="s">
        <v>120</v>
      </c>
      <c r="C4" s="18" t="s">
        <v>120</v>
      </c>
      <c r="D4" s="18" t="s">
        <v>120</v>
      </c>
      <c r="E4" s="18" t="s">
        <v>120</v>
      </c>
      <c r="F4" s="18" t="s">
        <v>120</v>
      </c>
    </row>
    <row r="5" spans="1:11" x14ac:dyDescent="0.25">
      <c r="A5" s="85" t="s">
        <v>284</v>
      </c>
      <c r="B5" s="21" t="s">
        <v>285</v>
      </c>
      <c r="C5" s="87" t="s">
        <v>286</v>
      </c>
      <c r="D5" s="87" t="s">
        <v>287</v>
      </c>
      <c r="E5" s="87" t="s">
        <v>288</v>
      </c>
      <c r="F5" s="21" t="s">
        <v>289</v>
      </c>
    </row>
    <row r="6" spans="1:11" ht="15.75" thickBot="1" x14ac:dyDescent="0.3">
      <c r="A6" s="86"/>
      <c r="B6" s="18" t="s">
        <v>132</v>
      </c>
      <c r="C6" s="88"/>
      <c r="D6" s="88"/>
      <c r="E6" s="88"/>
      <c r="F6" s="18" t="s">
        <v>132</v>
      </c>
    </row>
    <row r="7" spans="1:11" x14ac:dyDescent="0.25">
      <c r="A7" s="87" t="s">
        <v>290</v>
      </c>
      <c r="B7" s="21" t="s">
        <v>291</v>
      </c>
      <c r="C7" s="87" t="s">
        <v>292</v>
      </c>
      <c r="D7" s="87" t="s">
        <v>293</v>
      </c>
      <c r="E7" s="87" t="s">
        <v>294</v>
      </c>
      <c r="F7" s="21" t="s">
        <v>295</v>
      </c>
    </row>
    <row r="8" spans="1:11" ht="15.75" thickBot="1" x14ac:dyDescent="0.3">
      <c r="A8" s="88"/>
      <c r="B8" s="18" t="s">
        <v>132</v>
      </c>
      <c r="C8" s="88"/>
      <c r="D8" s="88"/>
      <c r="E8" s="88"/>
      <c r="F8" s="18" t="s">
        <v>296</v>
      </c>
    </row>
    <row r="9" spans="1:11" x14ac:dyDescent="0.25">
      <c r="A9" s="87" t="s">
        <v>297</v>
      </c>
      <c r="B9" s="21" t="s">
        <v>298</v>
      </c>
      <c r="C9" s="87" t="s">
        <v>299</v>
      </c>
      <c r="D9" s="87" t="s">
        <v>300</v>
      </c>
      <c r="E9" s="87" t="s">
        <v>301</v>
      </c>
      <c r="F9" s="21" t="s">
        <v>302</v>
      </c>
    </row>
    <row r="10" spans="1:11" ht="15.75" thickBot="1" x14ac:dyDescent="0.3">
      <c r="A10" s="88"/>
      <c r="B10" s="18" t="s">
        <v>132</v>
      </c>
      <c r="C10" s="88"/>
      <c r="D10" s="88"/>
      <c r="E10" s="88"/>
      <c r="F10" s="18" t="s">
        <v>132</v>
      </c>
    </row>
    <row r="11" spans="1:11" ht="15.75" thickBot="1" x14ac:dyDescent="0.3">
      <c r="A11" s="25" t="s">
        <v>120</v>
      </c>
      <c r="I11" s="43" t="s">
        <v>120</v>
      </c>
      <c r="J11" s="43" t="s">
        <v>336</v>
      </c>
      <c r="K11" s="43" t="s">
        <v>342</v>
      </c>
    </row>
    <row r="12" spans="1:11" x14ac:dyDescent="0.25">
      <c r="A12" s="87" t="s">
        <v>303</v>
      </c>
      <c r="B12" s="26" t="s">
        <v>304</v>
      </c>
      <c r="C12" s="87" t="s">
        <v>305</v>
      </c>
      <c r="D12" s="87" t="s">
        <v>305</v>
      </c>
      <c r="E12" s="87" t="s">
        <v>305</v>
      </c>
      <c r="F12" s="26" t="s">
        <v>304</v>
      </c>
      <c r="I12" s="43" t="s">
        <v>28</v>
      </c>
      <c r="J12" s="44">
        <v>483000</v>
      </c>
      <c r="K12" s="44">
        <v>483000</v>
      </c>
    </row>
    <row r="13" spans="1:11" ht="15.75" thickBot="1" x14ac:dyDescent="0.3">
      <c r="A13" s="88"/>
      <c r="B13" s="18" t="s">
        <v>296</v>
      </c>
      <c r="C13" s="88"/>
      <c r="D13" s="88"/>
      <c r="E13" s="88"/>
      <c r="F13" s="18" t="s">
        <v>296</v>
      </c>
      <c r="I13" s="43" t="s">
        <v>29</v>
      </c>
      <c r="J13" s="44">
        <v>1010000</v>
      </c>
      <c r="K13" s="44">
        <v>1493000</v>
      </c>
    </row>
    <row r="14" spans="1:11" x14ac:dyDescent="0.25">
      <c r="A14" s="85" t="s">
        <v>306</v>
      </c>
      <c r="B14" s="87" t="s">
        <v>307</v>
      </c>
      <c r="C14" s="87" t="s">
        <v>308</v>
      </c>
      <c r="D14" s="21" t="s">
        <v>309</v>
      </c>
      <c r="E14" s="87" t="s">
        <v>310</v>
      </c>
      <c r="F14" s="87" t="s">
        <v>311</v>
      </c>
      <c r="I14" s="43" t="s">
        <v>30</v>
      </c>
      <c r="J14" s="45">
        <v>2870000</v>
      </c>
      <c r="K14" s="44">
        <v>4363000</v>
      </c>
    </row>
    <row r="15" spans="1:11" ht="15.75" thickBot="1" x14ac:dyDescent="0.3">
      <c r="A15" s="86"/>
      <c r="B15" s="88"/>
      <c r="C15" s="88"/>
      <c r="D15" s="18" t="s">
        <v>120</v>
      </c>
      <c r="E15" s="88"/>
      <c r="F15" s="88"/>
      <c r="I15" s="43" t="s">
        <v>31</v>
      </c>
      <c r="J15" s="44">
        <v>6530000</v>
      </c>
      <c r="K15" s="44">
        <v>10893000</v>
      </c>
    </row>
    <row r="16" spans="1:11" x14ac:dyDescent="0.25">
      <c r="A16" s="87" t="s">
        <v>312</v>
      </c>
      <c r="B16" s="21" t="s">
        <v>313</v>
      </c>
      <c r="C16" s="21" t="s">
        <v>315</v>
      </c>
      <c r="D16" s="21" t="s">
        <v>316</v>
      </c>
      <c r="E16" s="21" t="s">
        <v>317</v>
      </c>
      <c r="F16" s="21" t="s">
        <v>318</v>
      </c>
      <c r="I16" s="43" t="s">
        <v>32</v>
      </c>
      <c r="J16" s="44">
        <v>14490000</v>
      </c>
      <c r="K16" s="44">
        <v>25383000</v>
      </c>
    </row>
    <row r="17" spans="1:6" ht="15.75" thickBot="1" x14ac:dyDescent="0.3">
      <c r="A17" s="88"/>
      <c r="B17" s="27" t="s">
        <v>314</v>
      </c>
      <c r="C17" s="27" t="s">
        <v>314</v>
      </c>
      <c r="D17" s="27" t="s">
        <v>314</v>
      </c>
      <c r="E17" s="27" t="s">
        <v>314</v>
      </c>
      <c r="F17" s="18" t="s">
        <v>296</v>
      </c>
    </row>
    <row r="18" spans="1:6" x14ac:dyDescent="0.25">
      <c r="A18" s="87" t="s">
        <v>319</v>
      </c>
      <c r="B18" s="87" t="s">
        <v>320</v>
      </c>
      <c r="C18" s="87" t="s">
        <v>321</v>
      </c>
      <c r="D18" s="21" t="s">
        <v>322</v>
      </c>
      <c r="E18" s="87" t="s">
        <v>323</v>
      </c>
      <c r="F18" s="87" t="s">
        <v>324</v>
      </c>
    </row>
    <row r="19" spans="1:6" ht="15.75" thickBot="1" x14ac:dyDescent="0.3">
      <c r="A19" s="88"/>
      <c r="B19" s="88"/>
      <c r="C19" s="88"/>
      <c r="D19" s="18" t="s">
        <v>120</v>
      </c>
      <c r="E19" s="88"/>
      <c r="F19" s="88"/>
    </row>
    <row r="20" spans="1:6" x14ac:dyDescent="0.25">
      <c r="A20" s="87" t="s">
        <v>325</v>
      </c>
      <c r="B20" s="21" t="s">
        <v>172</v>
      </c>
      <c r="C20" s="87" t="s">
        <v>326</v>
      </c>
      <c r="D20" s="87" t="s">
        <v>327</v>
      </c>
      <c r="E20" s="87" t="s">
        <v>328</v>
      </c>
      <c r="F20" s="21" t="s">
        <v>329</v>
      </c>
    </row>
    <row r="21" spans="1:6" ht="15.75" thickBot="1" x14ac:dyDescent="0.3">
      <c r="A21" s="88"/>
      <c r="B21" s="18" t="s">
        <v>296</v>
      </c>
      <c r="C21" s="88"/>
      <c r="D21" s="88"/>
      <c r="E21" s="88"/>
      <c r="F21" s="18" t="s">
        <v>296</v>
      </c>
    </row>
    <row r="22" spans="1:6" x14ac:dyDescent="0.25">
      <c r="A22" s="31" t="s">
        <v>330</v>
      </c>
      <c r="B22" s="30" t="s">
        <v>331</v>
      </c>
      <c r="C22" s="32" t="s">
        <v>332</v>
      </c>
      <c r="D22" s="24" t="s">
        <v>333</v>
      </c>
      <c r="E22" s="24" t="s">
        <v>334</v>
      </c>
      <c r="F22" s="21" t="s">
        <v>335</v>
      </c>
    </row>
    <row r="23" spans="1:6" ht="15.75" thickBot="1" x14ac:dyDescent="0.3">
      <c r="A23" s="23"/>
      <c r="B23" s="18" t="s">
        <v>296</v>
      </c>
      <c r="C23" s="28"/>
      <c r="D23" s="17"/>
      <c r="E23" s="17"/>
      <c r="F23" s="18" t="s">
        <v>296</v>
      </c>
    </row>
    <row r="24" spans="1:6" s="13" customFormat="1" x14ac:dyDescent="0.25">
      <c r="A24" s="89" t="s">
        <v>348</v>
      </c>
      <c r="B24" s="89" t="s">
        <v>337</v>
      </c>
      <c r="C24" s="89" t="s">
        <v>338</v>
      </c>
      <c r="D24" s="89" t="s">
        <v>339</v>
      </c>
      <c r="E24" s="89" t="s">
        <v>340</v>
      </c>
      <c r="F24" s="89" t="s">
        <v>341</v>
      </c>
    </row>
    <row r="25" spans="1:6" s="13" customFormat="1" ht="15.75" thickBot="1" x14ac:dyDescent="0.3">
      <c r="A25" s="90"/>
      <c r="B25" s="90"/>
      <c r="C25" s="90"/>
      <c r="D25" s="90"/>
      <c r="E25" s="90"/>
      <c r="F25" s="90"/>
    </row>
    <row r="26" spans="1:6" s="13" customFormat="1" x14ac:dyDescent="0.25">
      <c r="A26" s="89" t="s">
        <v>349</v>
      </c>
      <c r="B26" s="89" t="s">
        <v>343</v>
      </c>
      <c r="C26" s="89" t="s">
        <v>344</v>
      </c>
      <c r="D26" s="89" t="s">
        <v>345</v>
      </c>
      <c r="E26" s="89" t="s">
        <v>346</v>
      </c>
      <c r="F26" s="89" t="s">
        <v>347</v>
      </c>
    </row>
    <row r="27" spans="1:6" s="13" customFormat="1" ht="15.75" thickBot="1" x14ac:dyDescent="0.3">
      <c r="A27" s="90"/>
      <c r="B27" s="90"/>
      <c r="C27" s="90"/>
      <c r="D27" s="90"/>
      <c r="E27" s="90"/>
      <c r="F27" s="90"/>
    </row>
  </sheetData>
  <mergeCells count="45">
    <mergeCell ref="A1:F1"/>
    <mergeCell ref="A3:A4"/>
    <mergeCell ref="A5:A6"/>
    <mergeCell ref="C5:C6"/>
    <mergeCell ref="D5:D6"/>
    <mergeCell ref="E5:E6"/>
    <mergeCell ref="A7:A8"/>
    <mergeCell ref="C7:C8"/>
    <mergeCell ref="D7:D8"/>
    <mergeCell ref="E7:E8"/>
    <mergeCell ref="A9:A10"/>
    <mergeCell ref="C9:C10"/>
    <mergeCell ref="D9:D10"/>
    <mergeCell ref="E9:E10"/>
    <mergeCell ref="A12:A13"/>
    <mergeCell ref="C12:C13"/>
    <mergeCell ref="D12:D13"/>
    <mergeCell ref="E12:E13"/>
    <mergeCell ref="A14:A15"/>
    <mergeCell ref="B14:B15"/>
    <mergeCell ref="C14:C15"/>
    <mergeCell ref="E14:E15"/>
    <mergeCell ref="A20:A21"/>
    <mergeCell ref="C20:C21"/>
    <mergeCell ref="D20:D21"/>
    <mergeCell ref="E20:E21"/>
    <mergeCell ref="F14:F15"/>
    <mergeCell ref="A16:A17"/>
    <mergeCell ref="A18:A19"/>
    <mergeCell ref="B18:B19"/>
    <mergeCell ref="C18:C19"/>
    <mergeCell ref="E18:E19"/>
    <mergeCell ref="F18:F19"/>
    <mergeCell ref="F26:F27"/>
    <mergeCell ref="A24:A25"/>
    <mergeCell ref="B24:B25"/>
    <mergeCell ref="C24:C25"/>
    <mergeCell ref="D24:D25"/>
    <mergeCell ref="E24:E25"/>
    <mergeCell ref="F24:F25"/>
    <mergeCell ref="A26:A27"/>
    <mergeCell ref="B26:B27"/>
    <mergeCell ref="C26:C27"/>
    <mergeCell ref="D26:D27"/>
    <mergeCell ref="E26:E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8DDA-A66A-43F4-9F98-AFC5EB7340C7}">
  <sheetPr>
    <tabColor rgb="FFFFC000"/>
  </sheetPr>
  <dimension ref="A1:K11"/>
  <sheetViews>
    <sheetView workbookViewId="0">
      <selection activeCell="F17" sqref="F17"/>
    </sheetView>
  </sheetViews>
  <sheetFormatPr defaultRowHeight="15" x14ac:dyDescent="0.25"/>
  <cols>
    <col min="1" max="1" width="30.7109375" customWidth="1"/>
    <col min="2" max="6" width="12.7109375" customWidth="1"/>
  </cols>
  <sheetData>
    <row r="1" spans="1:11" s="50" customFormat="1" ht="21.75" thickBot="1" x14ac:dyDescent="0.3">
      <c r="A1" s="96" t="s">
        <v>376</v>
      </c>
      <c r="B1" s="97"/>
      <c r="C1" s="97"/>
      <c r="D1" s="97"/>
      <c r="E1" s="98"/>
      <c r="F1" s="49"/>
    </row>
    <row r="2" spans="1:11" s="50" customFormat="1" ht="15.75" thickBot="1" x14ac:dyDescent="0.3">
      <c r="A2" s="51"/>
      <c r="B2" s="52" t="s">
        <v>274</v>
      </c>
      <c r="C2" s="52" t="s">
        <v>275</v>
      </c>
      <c r="D2" s="52" t="s">
        <v>276</v>
      </c>
      <c r="E2" s="52" t="s">
        <v>277</v>
      </c>
      <c r="F2" s="52" t="s">
        <v>278</v>
      </c>
    </row>
    <row r="3" spans="1:11" x14ac:dyDescent="0.25">
      <c r="A3" s="94" t="s">
        <v>33</v>
      </c>
      <c r="B3" s="87" t="s">
        <v>350</v>
      </c>
      <c r="C3" s="87" t="s">
        <v>351</v>
      </c>
      <c r="D3" s="87" t="s">
        <v>352</v>
      </c>
      <c r="E3" s="87" t="s">
        <v>353</v>
      </c>
      <c r="F3" s="87" t="s">
        <v>354</v>
      </c>
    </row>
    <row r="4" spans="1:11" ht="15.75" thickBot="1" x14ac:dyDescent="0.3">
      <c r="A4" s="95"/>
      <c r="B4" s="88"/>
      <c r="C4" s="88"/>
      <c r="D4" s="88"/>
      <c r="E4" s="88"/>
      <c r="F4" s="88"/>
    </row>
    <row r="5" spans="1:11" x14ac:dyDescent="0.25">
      <c r="A5" s="94" t="s">
        <v>45</v>
      </c>
      <c r="B5" s="87" t="s">
        <v>355</v>
      </c>
      <c r="C5" s="87" t="s">
        <v>356</v>
      </c>
      <c r="D5" s="87" t="s">
        <v>357</v>
      </c>
      <c r="E5" s="87" t="s">
        <v>358</v>
      </c>
      <c r="F5" s="87" t="s">
        <v>359</v>
      </c>
    </row>
    <row r="6" spans="1:11" ht="17.25" thickBot="1" x14ac:dyDescent="0.35">
      <c r="A6" s="95"/>
      <c r="B6" s="88"/>
      <c r="C6" s="88"/>
      <c r="D6" s="88"/>
      <c r="E6" s="88"/>
      <c r="F6" s="88"/>
      <c r="I6" s="46" t="s">
        <v>120</v>
      </c>
      <c r="J6" s="48" t="s">
        <v>33</v>
      </c>
      <c r="K6" s="48" t="s">
        <v>368</v>
      </c>
    </row>
    <row r="7" spans="1:11" ht="15.75" thickBot="1" x14ac:dyDescent="0.3">
      <c r="A7" s="17" t="s">
        <v>39</v>
      </c>
      <c r="B7" s="18" t="s">
        <v>40</v>
      </c>
      <c r="C7" s="18" t="s">
        <v>41</v>
      </c>
      <c r="D7" s="18" t="s">
        <v>360</v>
      </c>
      <c r="E7" s="18" t="s">
        <v>43</v>
      </c>
      <c r="F7" s="18" t="s">
        <v>44</v>
      </c>
      <c r="I7" s="46" t="s">
        <v>28</v>
      </c>
      <c r="J7" s="47">
        <v>1080000</v>
      </c>
      <c r="K7" s="47">
        <v>435714</v>
      </c>
    </row>
    <row r="8" spans="1:11" x14ac:dyDescent="0.25">
      <c r="A8" s="87" t="s">
        <v>361</v>
      </c>
      <c r="B8" s="87" t="s">
        <v>362</v>
      </c>
      <c r="C8" s="87" t="s">
        <v>363</v>
      </c>
      <c r="D8" s="87" t="s">
        <v>364</v>
      </c>
      <c r="E8" s="87" t="s">
        <v>365</v>
      </c>
      <c r="F8" s="87" t="s">
        <v>366</v>
      </c>
      <c r="I8" s="46" t="s">
        <v>29</v>
      </c>
      <c r="J8" s="47">
        <v>2400000</v>
      </c>
      <c r="K8" s="47">
        <v>742857</v>
      </c>
    </row>
    <row r="9" spans="1:11" ht="15.75" thickBot="1" x14ac:dyDescent="0.3">
      <c r="A9" s="88"/>
      <c r="B9" s="88"/>
      <c r="C9" s="88"/>
      <c r="D9" s="88"/>
      <c r="E9" s="88"/>
      <c r="F9" s="88"/>
      <c r="I9" s="46" t="s">
        <v>30</v>
      </c>
      <c r="J9" s="47">
        <v>5400000</v>
      </c>
      <c r="K9" s="47">
        <v>1214286</v>
      </c>
    </row>
    <row r="10" spans="1:11" ht="17.25" thickBot="1" x14ac:dyDescent="0.3">
      <c r="A10" s="19" t="s">
        <v>367</v>
      </c>
      <c r="B10" s="33">
        <v>0.7</v>
      </c>
      <c r="C10" s="33">
        <v>0.7</v>
      </c>
      <c r="D10" s="33">
        <v>0.7</v>
      </c>
      <c r="E10" s="33">
        <v>0.7</v>
      </c>
      <c r="F10" s="33">
        <v>0.7</v>
      </c>
      <c r="I10" s="46" t="s">
        <v>31</v>
      </c>
      <c r="J10" s="47">
        <v>10800000</v>
      </c>
      <c r="K10" s="47">
        <v>2285714</v>
      </c>
    </row>
    <row r="11" spans="1:11" ht="17.25" thickBot="1" x14ac:dyDescent="0.3">
      <c r="A11" s="19" t="s">
        <v>368</v>
      </c>
      <c r="B11" s="18" t="s">
        <v>369</v>
      </c>
      <c r="C11" s="18" t="s">
        <v>370</v>
      </c>
      <c r="D11" s="18" t="s">
        <v>371</v>
      </c>
      <c r="E11" s="18" t="s">
        <v>372</v>
      </c>
      <c r="F11" s="18" t="s">
        <v>373</v>
      </c>
      <c r="I11" s="46" t="s">
        <v>32</v>
      </c>
      <c r="J11" s="47">
        <v>21120000</v>
      </c>
      <c r="K11" s="47">
        <v>4000000</v>
      </c>
    </row>
  </sheetData>
  <mergeCells count="19">
    <mergeCell ref="A1:E1"/>
    <mergeCell ref="A3:A4"/>
    <mergeCell ref="B3:B4"/>
    <mergeCell ref="C3:C4"/>
    <mergeCell ref="D3:D4"/>
    <mergeCell ref="E3:E4"/>
    <mergeCell ref="F8:F9"/>
    <mergeCell ref="F3:F4"/>
    <mergeCell ref="A5:A6"/>
    <mergeCell ref="B5:B6"/>
    <mergeCell ref="C5:C6"/>
    <mergeCell ref="D5:D6"/>
    <mergeCell ref="E5:E6"/>
    <mergeCell ref="F5:F6"/>
    <mergeCell ref="A8:A9"/>
    <mergeCell ref="B8:B9"/>
    <mergeCell ref="C8:C9"/>
    <mergeCell ref="D8:D9"/>
    <mergeCell ref="E8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Start-up Cost</vt:lpstr>
      <vt:lpstr>Financial Overview</vt:lpstr>
      <vt:lpstr>PROFIT AND LOSS</vt:lpstr>
      <vt:lpstr>BALANCE SHEET </vt:lpstr>
      <vt:lpstr>CASH FLOW</vt:lpstr>
      <vt:lpstr>BREAK-EVEN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2026-04-13T14:54:10Z</dcterms:created>
  <dcterms:modified xsi:type="dcterms:W3CDTF">2026-04-14T00:00:34Z</dcterms:modified>
</cp:coreProperties>
</file>